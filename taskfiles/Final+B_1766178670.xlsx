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9"/>
  <workbookPr showInkAnnotation="0" autoCompressPictures="0"/>
  <mc:AlternateContent xmlns:mc="http://schemas.openxmlformats.org/markup-compatibility/2006">
    <mc:Choice Requires="x15">
      <x15ac:absPath xmlns:x15ac="http://schemas.microsoft.com/office/spreadsheetml/2010/11/ac" url="/Users/zahra/Downloads/"/>
    </mc:Choice>
  </mc:AlternateContent>
  <xr:revisionPtr revIDLastSave="0" documentId="13_ncr:1_{5D79893C-FD83-A449-882A-636B1F9535B4}" xr6:coauthVersionLast="47" xr6:coauthVersionMax="47" xr10:uidLastSave="{00000000-0000-0000-0000-000000000000}"/>
  <bookViews>
    <workbookView xWindow="-43420" yWindow="320" windowWidth="30320" windowHeight="25340" tabRatio="500" activeTab="7" xr2:uid="{00000000-000D-0000-FFFF-FFFF00000000}"/>
  </bookViews>
  <sheets>
    <sheet name="Final-Budgeting" sheetId="9" r:id="rId1"/>
    <sheet name="Final-Cash Flow Budget" sheetId="2" r:id="rId2"/>
    <sheet name="Second Mid-CVP" sheetId="6" r:id="rId3"/>
    <sheet name="Second-Sales Mix" sheetId="7" r:id="rId4"/>
    <sheet name="First Mid-Term" sheetId="3" r:id="rId5"/>
    <sheet name="First-Job Order" sheetId="5" r:id="rId6"/>
    <sheet name="First Mid-Term Part 2" sheetId="4" r:id="rId7"/>
    <sheet name="ABC"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56" i="6" l="1"/>
  <c r="B55" i="6"/>
  <c r="C28" i="9"/>
  <c r="B28" i="9"/>
  <c r="C21" i="9"/>
  <c r="C18" i="9"/>
  <c r="C24" i="9" s="1"/>
  <c r="C11" i="9"/>
  <c r="C8" i="9"/>
  <c r="C15" i="9" s="1"/>
  <c r="D11" i="7"/>
  <c r="C11" i="7"/>
  <c r="B54" i="6"/>
  <c r="C40" i="4"/>
  <c r="A31" i="4"/>
  <c r="C10" i="4"/>
  <c r="B15" i="3"/>
  <c r="B14" i="3"/>
  <c r="D13" i="3"/>
  <c r="B13" i="3"/>
  <c r="D12" i="3"/>
  <c r="B12" i="3"/>
  <c r="D11" i="3"/>
  <c r="D10" i="3"/>
  <c r="B10" i="3"/>
  <c r="D9" i="3"/>
  <c r="D8" i="3"/>
  <c r="B8" i="3"/>
  <c r="D7" i="3"/>
  <c r="D6" i="3"/>
  <c r="B6" i="3"/>
  <c r="D5" i="3"/>
  <c r="D4" i="3"/>
  <c r="B4" i="3"/>
  <c r="D3" i="3"/>
  <c r="B3" i="3"/>
</calcChain>
</file>

<file path=xl/sharedStrings.xml><?xml version="1.0" encoding="utf-8"?>
<sst xmlns="http://schemas.openxmlformats.org/spreadsheetml/2006/main" count="219" uniqueCount="198">
  <si>
    <t>Statement of Financial Position</t>
  </si>
  <si>
    <t>Property, plant and Equipment</t>
  </si>
  <si>
    <t>Equipment</t>
  </si>
  <si>
    <t>Less: Accumulated Depreciation</t>
  </si>
  <si>
    <t>Current Assets</t>
  </si>
  <si>
    <t xml:space="preserve">Accounts receivable </t>
  </si>
  <si>
    <t>Cash</t>
  </si>
  <si>
    <t>TOTAL ASSETS</t>
  </si>
  <si>
    <t>Equity</t>
  </si>
  <si>
    <t>Share capital</t>
  </si>
  <si>
    <t>Retained Earnings</t>
  </si>
  <si>
    <t>Liabilities</t>
  </si>
  <si>
    <t>Notes payable</t>
  </si>
  <si>
    <t>Accounts payable</t>
  </si>
  <si>
    <t>TOTAL EQUITY AND LIABILITIES</t>
  </si>
  <si>
    <t>Direct Materials used</t>
  </si>
  <si>
    <t>Direct Labor</t>
  </si>
  <si>
    <t>Manufacturing overhead applied</t>
  </si>
  <si>
    <t>Selling and administrative expenses</t>
  </si>
  <si>
    <t>Quarter 4</t>
  </si>
  <si>
    <t>Total</t>
  </si>
  <si>
    <t>Additional Important Information:</t>
  </si>
  <si>
    <t>Purchases in the fourth quarter were the same as materials used.</t>
  </si>
  <si>
    <t>INSTRUCTIONS</t>
  </si>
  <si>
    <t>Budgeted Cost of Goods Sold</t>
  </si>
  <si>
    <t>Total Cost</t>
  </si>
  <si>
    <t>Units</t>
  </si>
  <si>
    <t>Cost per unit</t>
  </si>
  <si>
    <t>Budgeted Income Statement</t>
  </si>
  <si>
    <t>TOTAL</t>
  </si>
  <si>
    <t>Budgeted Retained Earnings Statement</t>
  </si>
  <si>
    <t>Budgeted Statement of Financial Position</t>
  </si>
  <si>
    <t>December 31, 2026</t>
  </si>
  <si>
    <t>Direct materials purchaed from suppliers are paid 40% in the quarter incurred and the remainder in the following quarter.</t>
  </si>
  <si>
    <t>4,000,000 of depreciation expense on equipment is included in the budget data.</t>
  </si>
  <si>
    <t>Concept</t>
  </si>
  <si>
    <t>Sales</t>
  </si>
  <si>
    <t>Direct materials purchases</t>
  </si>
  <si>
    <t>Direct labor</t>
  </si>
  <si>
    <t>Manufacturing overhead</t>
  </si>
  <si>
    <t>70  POINTS</t>
  </si>
  <si>
    <t>30 POINTS</t>
  </si>
  <si>
    <t>May</t>
  </si>
  <si>
    <t>June</t>
  </si>
  <si>
    <t>1. The following data were taken from the records of XYZ Company for the fiscal year ended June 30, 2020.</t>
  </si>
  <si>
    <t>Raw Materials Inventory 7/1/19</t>
  </si>
  <si>
    <t>Factory Insurance</t>
  </si>
  <si>
    <t>Raw Materials Inventory 6/30/20</t>
  </si>
  <si>
    <t>Factory Machinery Depreciation</t>
  </si>
  <si>
    <t>Factory Utilities</t>
  </si>
  <si>
    <t>Finished Goods Inventory 7/1/19</t>
  </si>
  <si>
    <t>Office Utilities Expense</t>
  </si>
  <si>
    <t>Sales Revenue</t>
  </si>
  <si>
    <t>Finished Goods Inventory 6/30/20</t>
  </si>
  <si>
    <t>Sales Discounts</t>
  </si>
  <si>
    <t>Plant Manager's Salary</t>
  </si>
  <si>
    <t>Work in Process Inventory 7/1/19</t>
  </si>
  <si>
    <t>Factory Property Taxes</t>
  </si>
  <si>
    <t>Factory Repairs</t>
  </si>
  <si>
    <t>Work in Process Inventory 6/30/20</t>
  </si>
  <si>
    <t>Raw Materials Purchases</t>
  </si>
  <si>
    <t>Indirect Labor</t>
  </si>
  <si>
    <t>Accounts Receivable</t>
  </si>
  <si>
    <t>Instructions</t>
  </si>
  <si>
    <r>
      <t>a.</t>
    </r>
    <r>
      <rPr>
        <sz val="12"/>
        <color rgb="FF000000"/>
        <rFont val="Arial"/>
        <family val="2"/>
      </rPr>
      <t> Prepare a cost of goods manufactured schedule. (Assume all raw materials used were direct materials.)</t>
    </r>
  </si>
  <si>
    <r>
      <t>b.</t>
    </r>
    <r>
      <rPr>
        <sz val="12"/>
        <color rgb="FF000000"/>
        <rFont val="Arial"/>
        <family val="2"/>
      </rPr>
      <t> Prepare an income statement through gross profit.</t>
    </r>
  </si>
  <si>
    <r>
      <t>c.</t>
    </r>
    <r>
      <rPr>
        <sz val="12"/>
        <color rgb="FF000000"/>
        <rFont val="Arial"/>
        <family val="2"/>
      </rPr>
      <t> Prepare the current assets section of the statement of financial position at June 30, 2020.</t>
    </r>
  </si>
  <si>
    <t>Station Company manufactures books. Materials are added at the beginning of the production process and conversion costs are incurred uniformly. Production and cost data for the month of July 2020 are as follows.</t>
  </si>
  <si>
    <r>
      <t>Determine equivalent units and unit costs and assign costs</t>
    </r>
    <r>
      <rPr>
        <sz val="12"/>
        <color theme="1"/>
        <rFont val="Arial"/>
        <family val="2"/>
      </rPr>
      <t>.</t>
    </r>
  </si>
  <si>
    <t>Production Data—Books</t>
  </si>
  <si>
    <t>Percentage Complete</t>
  </si>
  <si>
    <t>Work in process units, July 1</t>
  </si>
  <si>
    <t>Units started into production</t>
  </si>
  <si>
    <t>Work in process units, July 31</t>
  </si>
  <si>
    <t>Cost Data—Books</t>
  </si>
  <si>
    <t>Work in process, July 1</t>
  </si>
  <si>
    <t>  Materials</t>
  </si>
  <si>
    <t>  Conversion costs</t>
  </si>
  <si>
    <t>Direct materials</t>
  </si>
  <si>
    <t> Calculate the following.</t>
  </si>
  <si>
    <r>
      <t>1.</t>
    </r>
    <r>
      <rPr>
        <sz val="16"/>
        <color rgb="FF000000"/>
        <rFont val="Arial"/>
        <family val="2"/>
      </rPr>
      <t> The equivalent units of production for materials and conversion costs.</t>
    </r>
  </si>
  <si>
    <r>
      <t>2.</t>
    </r>
    <r>
      <rPr>
        <sz val="16"/>
        <color rgb="FF000000"/>
        <rFont val="Arial"/>
        <family val="2"/>
      </rPr>
      <t> The unit costs of production for materials and conversion costs.</t>
    </r>
  </si>
  <si>
    <r>
      <t>3.</t>
    </r>
    <r>
      <rPr>
        <sz val="16"/>
        <color rgb="FF000000"/>
        <rFont val="Arial"/>
        <family val="2"/>
      </rPr>
      <t> The assignment of costs to units transferred out and in process at the end of the accounting period.</t>
    </r>
  </si>
  <si>
    <t>EQUIVALENT UNITS</t>
  </si>
  <si>
    <t>PHYSICAL UNITS</t>
  </si>
  <si>
    <t>MATERIALS</t>
  </si>
  <si>
    <t>CONVERSION COSTS</t>
  </si>
  <si>
    <t>Units to be accounted for</t>
  </si>
  <si>
    <t>COSTS</t>
  </si>
  <si>
    <t>Materials</t>
  </si>
  <si>
    <t xml:space="preserve">Conversion Cost </t>
  </si>
  <si>
    <t>Costs accounted for</t>
  </si>
  <si>
    <t>Finished goods</t>
  </si>
  <si>
    <t>Work in process</t>
  </si>
  <si>
    <r>
      <t>1.</t>
    </r>
    <r>
      <rPr>
        <sz val="12"/>
        <color rgb="FF000000"/>
        <rFont val="Arial"/>
        <family val="2"/>
      </rPr>
      <t> Materials purchased on account 192,000,000,</t>
    </r>
  </si>
  <si>
    <t xml:space="preserve"> and factory wages incurred 87,300,000.</t>
  </si>
  <si>
    <r>
      <t>2.</t>
    </r>
    <r>
      <rPr>
        <sz val="12"/>
        <color rgb="FF000000"/>
        <rFont val="Arial"/>
        <family val="2"/>
      </rPr>
      <t> Materials requisitioned and factory labor used by job:</t>
    </r>
  </si>
  <si>
    <t>Job Number</t>
  </si>
  <si>
    <t>Factory Labor</t>
  </si>
  <si>
    <t>A20</t>
  </si>
  <si>
    <t> 35,240,000</t>
  </si>
  <si>
    <t>18,000,000</t>
  </si>
  <si>
    <t>A21</t>
  </si>
  <si>
    <t>42,920,000</t>
  </si>
  <si>
    <t>22,000,000</t>
  </si>
  <si>
    <t>A22</t>
  </si>
  <si>
    <t>36,100,000</t>
  </si>
  <si>
    <t>15,000,000</t>
  </si>
  <si>
    <t>A23</t>
  </si>
  <si>
    <t>39,270,000</t>
  </si>
  <si>
    <t>25,000,000</t>
  </si>
  <si>
    <t>General factory use ( Indirect Costs)</t>
  </si>
  <si>
    <t>4,470,000</t>
  </si>
  <si>
    <t>7,300,000</t>
  </si>
  <si>
    <t>158,000,000</t>
  </si>
  <si>
    <t>87,300,000</t>
  </si>
  <si>
    <r>
      <t>3.</t>
    </r>
    <r>
      <rPr>
        <sz val="12"/>
        <color rgb="FF000000"/>
        <rFont val="Arial"/>
        <family val="2"/>
      </rPr>
      <t> Manufacturing overhead costs incurred on account </t>
    </r>
  </si>
  <si>
    <t>49,500,000.</t>
  </si>
  <si>
    <r>
      <t>4.</t>
    </r>
    <r>
      <rPr>
        <sz val="12"/>
        <color rgb="FF000000"/>
        <rFont val="Arial"/>
        <family val="2"/>
      </rPr>
      <t> Depreciation on factory equipment </t>
    </r>
  </si>
  <si>
    <t>14,550,000.</t>
  </si>
  <si>
    <r>
      <t>5.</t>
    </r>
    <r>
      <rPr>
        <sz val="12"/>
        <color rgb="FF000000"/>
        <rFont val="Arial"/>
        <family val="2"/>
      </rPr>
      <t> Depreciation on the company's office building was </t>
    </r>
  </si>
  <si>
    <t>14,300,000.</t>
  </si>
  <si>
    <r>
      <t>6.</t>
    </r>
    <r>
      <rPr>
        <sz val="12"/>
        <color rgb="FF000000"/>
        <rFont val="Arial"/>
        <family val="2"/>
      </rPr>
      <t> Manufacturing overhead rate is 90% of direct labor cost.</t>
    </r>
  </si>
  <si>
    <r>
      <t>7.</t>
    </r>
    <r>
      <rPr>
        <sz val="12"/>
        <color rgb="FF000000"/>
        <rFont val="Arial"/>
        <family val="2"/>
      </rPr>
      <t> Jobs completed during the quarter: A20, A21, and A23.</t>
    </r>
  </si>
  <si>
    <t>Prepare entries to record the operations summarized above</t>
  </si>
  <si>
    <t>Accounts</t>
  </si>
  <si>
    <t>Debit</t>
  </si>
  <si>
    <t>Credit</t>
  </si>
  <si>
    <r>
      <t xml:space="preserve">ABC Printing Ltd. uses a job order cost system. The following data summarize the operations related to the first quarter's production. </t>
    </r>
    <r>
      <rPr>
        <b/>
        <sz val="12"/>
        <color rgb="FFC00000"/>
        <rFont val="Arial"/>
        <family val="2"/>
      </rPr>
      <t>NO beginning balancces for this company</t>
    </r>
  </si>
  <si>
    <t>POINTS 50</t>
  </si>
  <si>
    <t>Sales (100,000 units)</t>
  </si>
  <si>
    <t>Selling expenses (40% variable)</t>
  </si>
  <si>
    <t>Direct Materials</t>
  </si>
  <si>
    <t>Administrative expenses (20% variable)</t>
  </si>
  <si>
    <t>Manufacturing overhead (70% variable)</t>
  </si>
  <si>
    <t xml:space="preserve">Top management has asked you to do a CVP analysis so that it can make plans for the coming year. </t>
  </si>
  <si>
    <t>It has projected that unit sales will increase by 10% next year.</t>
  </si>
  <si>
    <r>
      <t xml:space="preserve">1. </t>
    </r>
    <r>
      <rPr>
        <sz val="12"/>
        <rFont val="Calibri"/>
        <family val="2"/>
        <scheme val="minor"/>
      </rPr>
      <t>Compute the contribution margin for the current year and the projected year</t>
    </r>
  </si>
  <si>
    <r>
      <t xml:space="preserve">2. </t>
    </r>
    <r>
      <rPr>
        <sz val="12"/>
        <color theme="1"/>
        <rFont val="Calibri"/>
        <family val="2"/>
        <scheme val="minor"/>
      </rPr>
      <t>Compute the fixed costs for the current year (Assume fixed costs will remain the same in the proyected year)</t>
    </r>
  </si>
  <si>
    <r>
      <rPr>
        <b/>
        <sz val="12"/>
        <color rgb="FF800000"/>
        <rFont val="Calibri"/>
        <family val="2"/>
        <scheme val="minor"/>
      </rPr>
      <t>3.</t>
    </r>
    <r>
      <rPr>
        <sz val="12"/>
        <color rgb="FF800000"/>
        <rFont val="Calibri"/>
        <family val="2"/>
        <scheme val="minor"/>
      </rPr>
      <t xml:space="preserve"> </t>
    </r>
    <r>
      <rPr>
        <sz val="12"/>
        <rFont val="Calibri"/>
        <family val="2"/>
        <scheme val="minor"/>
      </rPr>
      <t>Compute the break-even point in units and sales for the first year</t>
    </r>
  </si>
  <si>
    <r>
      <t xml:space="preserve">4. </t>
    </r>
    <r>
      <rPr>
        <sz val="12"/>
        <rFont val="Calibri"/>
        <family val="2"/>
        <scheme val="minor"/>
      </rPr>
      <t>The company has a target net income of € 200,000. What is the required sales for the company to meet its target?</t>
    </r>
  </si>
  <si>
    <r>
      <t xml:space="preserve">5. </t>
    </r>
    <r>
      <rPr>
        <sz val="12"/>
        <color theme="1"/>
        <rFont val="Calibri"/>
        <family val="2"/>
        <scheme val="minor"/>
      </rPr>
      <t>If the company meets its target net income, by what percentage could its sales fall before it is operating at a loss? That is, what is its margin of safety ratio?</t>
    </r>
  </si>
  <si>
    <r>
      <t xml:space="preserve">6. </t>
    </r>
    <r>
      <rPr>
        <sz val="12"/>
        <rFont val="Calibri"/>
        <family val="2"/>
        <scheme val="minor"/>
      </rPr>
      <t>The company is considering a purchase of equipment that would reduce its direct labor costs by €104,000 and would change its manufacturing overhead costs to 30% variable and 70% fixed (assume total manufacturing costs is €350,000 as above).</t>
    </r>
  </si>
  <si>
    <t>It is also considering switching to a pure commission basis for its sales staff. This would change selling expenses to 90% variable and 10% fixed (assume total selling expense is €250,000 as above).</t>
  </si>
  <si>
    <t>Compute:</t>
  </si>
  <si>
    <t xml:space="preserve">6.1 </t>
  </si>
  <si>
    <t>Contribution Margin</t>
  </si>
  <si>
    <t>6.2</t>
  </si>
  <si>
    <t>Contribution Margin Ratio</t>
  </si>
  <si>
    <t>6.3</t>
  </si>
  <si>
    <t>Break even point in sales</t>
  </si>
  <si>
    <r>
      <t>In a recent report, the</t>
    </r>
    <r>
      <rPr>
        <b/>
        <sz val="12"/>
        <color rgb="FF800000"/>
        <rFont val="Arial"/>
        <family val="2"/>
      </rPr>
      <t xml:space="preserve"> Del Monte Foods Company (USA) </t>
    </r>
    <r>
      <rPr>
        <sz val="12"/>
        <color rgb="FF000000"/>
        <rFont val="Arial"/>
        <family val="2"/>
      </rPr>
      <t>reported three separate operating segments: consumer products (which includes a variety of canned foods including tuna, fruit, and vegetables); pet products (which includes pet food and snacks and veterinary products); and soup and infant-feeding products (which includes soup, broth, and infant feeding and pureed products).</t>
    </r>
  </si>
  <si>
    <t>In its annual report, Del Monte uses absorption costing. As a result, information regarding the relative composition of its fixed and variable costs is not available.</t>
  </si>
  <si>
    <t xml:space="preserve">We have assumed that €860.3 million of its total operating expenses of €1,920.3 million are fixed and have allocated the remaining variable costs across the three divisions. </t>
  </si>
  <si>
    <t>Sales data, along with assumed expense data, are provided below.</t>
  </si>
  <si>
    <t>In Millions</t>
  </si>
  <si>
    <t>Variable costs</t>
  </si>
  <si>
    <t>Consumer products</t>
  </si>
  <si>
    <t>Pet products</t>
  </si>
  <si>
    <t xml:space="preserve">Soup and Infant products </t>
  </si>
  <si>
    <r>
      <t>a.</t>
    </r>
    <r>
      <rPr>
        <sz val="12"/>
        <color rgb="FF000000"/>
        <rFont val="Arial"/>
        <family val="2"/>
      </rPr>
      <t> Compute each segment's contribution margin ratio and the sales mix.</t>
    </r>
  </si>
  <si>
    <r>
      <t>b.</t>
    </r>
    <r>
      <rPr>
        <sz val="12"/>
        <color rgb="FF000000"/>
        <rFont val="Arial"/>
        <family val="2"/>
      </rPr>
      <t> Using the information computed in part (a), compute the company's break-even sales, and then determine the amount of sales that would be generated by each division at the break-even point.</t>
    </r>
  </si>
  <si>
    <r>
      <t>c.</t>
    </r>
    <r>
      <rPr>
        <sz val="12"/>
        <color rgb="FF000000"/>
        <rFont val="Arial"/>
        <family val="2"/>
      </rPr>
      <t> Using the current level of sales, compute the margin of safety ratio under each approach and interpret your findings.</t>
    </r>
  </si>
  <si>
    <t xml:space="preserve">c. </t>
  </si>
  <si>
    <t>OIM Ride is a trucking company. It provides local, short-haul, and long-haul services. It has developed the following three cost pools.</t>
  </si>
  <si>
    <t xml:space="preserve">Activity cost Pools </t>
  </si>
  <si>
    <t>Cost Drivers</t>
  </si>
  <si>
    <t>Estimated Overhead</t>
  </si>
  <si>
    <t xml:space="preserve">Estimated Use of Cost Driver per Activity </t>
  </si>
  <si>
    <t>Loading and unloading</t>
  </si>
  <si>
    <t>Number of pieces</t>
  </si>
  <si>
    <t>Travel</t>
  </si>
  <si>
    <t>Kilometers driven</t>
  </si>
  <si>
    <t>Logistics</t>
  </si>
  <si>
    <t>Hours</t>
  </si>
  <si>
    <t>a. Compute the activity-based overhead rates for each pool.</t>
  </si>
  <si>
    <t>b. Determine the overhead allocated to Job XZ3275 which has 150 pieces, requires 200 km of driving, and 0.75 hours of logistics.</t>
  </si>
  <si>
    <t>"Orion Vista" Corp's Statement of Financial Position at December 31, 2026 is presented below:</t>
  </si>
  <si>
    <t>Orion Vista Corp</t>
  </si>
  <si>
    <t>Finished goods inventory (  1750 units)</t>
  </si>
  <si>
    <t>Budgeted data for the year 2027 include the following</t>
  </si>
  <si>
    <t>Sales Budget (12500 units at 68000)</t>
  </si>
  <si>
    <t>Orion Vista wants  to have 4200 units of finished goods on hand at December 31, 2027.</t>
  </si>
  <si>
    <t xml:space="preserve"> "Orion Vista" uses FIFO inventory costing method.</t>
  </si>
  <si>
    <t>Interest expense is expected to be 6,200,000 for the year.</t>
  </si>
  <si>
    <t>Income taxes are expected to be 32% of income before income taxes.</t>
  </si>
  <si>
    <t>In 2027, the company expects to declare and pay 14,500,000 as cash dividend.</t>
  </si>
  <si>
    <t>All sales and purchases are on account. It is expected that 55% of sales are collected in the quarter of sale and the remainder is collected in the following quarter.</t>
  </si>
  <si>
    <t xml:space="preserve">In 2027 the company expects to purchase additional equipment, costing 18,000,000. </t>
  </si>
  <si>
    <t>Orion Vista expects to pay 18,000,000 on the outstanding notes payable balance plus the interest expense, 6,200,000.</t>
  </si>
  <si>
    <t>Accounts payable at December 31 2027 includes amounts due to suppliers.</t>
  </si>
  <si>
    <t>1. Prepare a budgeted statement of cost of goods sold for the year ended Dec 2027.</t>
  </si>
  <si>
    <t>2. Prepare a budgeted multiple-step income statement, for the year ended December 2027.</t>
  </si>
  <si>
    <t>3. Prepare a budgeted statement of retained earnings, for the year ended December 2027.</t>
  </si>
  <si>
    <t>4. Prepare a budgeted classified statement of financial position at December 31, 2027.</t>
  </si>
  <si>
    <t>For the Year Ending December 31, 2027</t>
  </si>
  <si>
    <t>December 31, 2027</t>
  </si>
  <si>
    <t>Comment on the effect each of management's proposed changes has on the break-even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</si>
</sst>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 &quot;€&quot;_-;\-* #,##0.00\ &quot;€&quot;_-;_-* &quot;-&quot;??\ &quot;€&quot;_-;_-@_-"/>
    <numFmt numFmtId="165" formatCode="_-* #,##0.00_-;\-* #,##0.00_-;_-* &quot;-&quot;??_-;_-@_-"/>
    <numFmt numFmtId="166" formatCode="#,##0.00\ &quot;€&quot;;[Red]#,##0.00\ &quot;€&quot;"/>
    <numFmt numFmtId="167" formatCode="_-[$$-409]* #,##0.00_ ;_-[$$-409]* \-#,##0.00\ ;_-[$$-409]* &quot;-&quot;??_ ;_-@_ "/>
    <numFmt numFmtId="168" formatCode="&quot;$&quot;#,##0.00"/>
    <numFmt numFmtId="169" formatCode="_-[$€-2]\ * #,##0.00_-;\-[$€-2]\ * #,##0.00_-;_-[$€-2]\ * &quot;-&quot;??_-;_-@_-"/>
    <numFmt numFmtId="170" formatCode="_([$€-2]\ * #,##0.00_);_([$€-2]\ * \(#,##0.00\);_([$€-2]\ * &quot;-&quot;??_);_(@_)"/>
    <numFmt numFmtId="171" formatCode="#,##0.00\ &quot;€&quot;"/>
  </numFmts>
  <fonts count="38" x14ac:knownFonts="1">
    <font>
      <sz val="12"/>
      <color theme="1"/>
      <name val="Calibri"/>
      <family val="2"/>
      <scheme val="minor"/>
    </font>
    <font>
      <b/>
      <sz val="12"/>
      <color theme="0"/>
      <name val="Calibri"/>
      <family val="2"/>
      <charset val="128"/>
      <scheme val="minor"/>
    </font>
    <font>
      <u/>
      <sz val="12"/>
      <color theme="10"/>
      <name val="Calibri"/>
      <family val="2"/>
      <charset val="128"/>
      <scheme val="minor"/>
    </font>
    <font>
      <u/>
      <sz val="12"/>
      <color theme="11"/>
      <name val="Calibri"/>
      <family val="2"/>
      <charset val="128"/>
      <scheme val="minor"/>
    </font>
    <font>
      <b/>
      <sz val="12"/>
      <color rgb="FF000090"/>
      <name val="Calibri"/>
      <family val="2"/>
      <scheme val="minor"/>
    </font>
    <font>
      <sz val="12"/>
      <name val="Calibri"/>
      <family val="2"/>
      <scheme val="minor"/>
    </font>
    <font>
      <b/>
      <sz val="12"/>
      <color rgb="FF800000"/>
      <name val="Calibri"/>
      <family val="2"/>
      <scheme val="minor"/>
    </font>
    <font>
      <b/>
      <sz val="12"/>
      <color rgb="FF008000"/>
      <name val="Calibri"/>
      <family val="2"/>
      <scheme val="minor"/>
    </font>
    <font>
      <sz val="12"/>
      <color theme="1"/>
      <name val="Calibri"/>
      <family val="2"/>
      <scheme val="minor"/>
    </font>
    <font>
      <b/>
      <sz val="12"/>
      <color theme="1"/>
      <name val="Arial"/>
      <family val="2"/>
    </font>
    <font>
      <b/>
      <sz val="11"/>
      <color theme="1"/>
      <name val="Calibri"/>
      <family val="2"/>
      <scheme val="minor"/>
    </font>
    <font>
      <b/>
      <sz val="12"/>
      <color theme="0"/>
      <name val="Calibri"/>
      <family val="2"/>
      <scheme val="minor"/>
    </font>
    <font>
      <sz val="12"/>
      <color rgb="FFFF0000"/>
      <name val="Calibri"/>
      <family val="2"/>
      <scheme val="minor"/>
    </font>
    <font>
      <b/>
      <sz val="12"/>
      <color theme="1"/>
      <name val="Calibri"/>
      <family val="2"/>
      <scheme val="minor"/>
    </font>
    <font>
      <sz val="11"/>
      <color theme="1"/>
      <name val="Cambria"/>
      <family val="1"/>
    </font>
    <font>
      <sz val="12"/>
      <color rgb="FF000000"/>
      <name val="Arial"/>
      <family val="2"/>
    </font>
    <font>
      <sz val="12"/>
      <color theme="1"/>
      <name val="Arial"/>
      <family val="2"/>
    </font>
    <font>
      <b/>
      <sz val="12"/>
      <color rgb="FFB11117"/>
      <name val="Arial"/>
      <family val="2"/>
    </font>
    <font>
      <b/>
      <sz val="12"/>
      <color rgb="FF000000"/>
      <name val="Arial"/>
      <family val="2"/>
    </font>
    <font>
      <b/>
      <sz val="12"/>
      <color rgb="FF2C77BC"/>
      <name val="Arial"/>
      <family val="2"/>
    </font>
    <font>
      <b/>
      <sz val="16"/>
      <color rgb="FF2C77BC"/>
      <name val="Arial"/>
      <family val="2"/>
    </font>
    <font>
      <i/>
      <sz val="12"/>
      <color theme="1"/>
      <name val="Arial"/>
      <family val="2"/>
    </font>
    <font>
      <b/>
      <sz val="12"/>
      <color theme="0"/>
      <name val="Arial"/>
      <family val="2"/>
    </font>
    <font>
      <sz val="16"/>
      <color rgb="FF000000"/>
      <name val="Arial"/>
      <family val="2"/>
    </font>
    <font>
      <b/>
      <sz val="16"/>
      <color rgb="FF000000"/>
      <name val="Arial"/>
      <family val="2"/>
    </font>
    <font>
      <b/>
      <sz val="11"/>
      <color theme="0"/>
      <name val="Calibri"/>
      <family val="2"/>
      <scheme val="minor"/>
    </font>
    <font>
      <sz val="11"/>
      <color theme="1"/>
      <name val="Arial"/>
      <family val="2"/>
    </font>
    <font>
      <b/>
      <sz val="12"/>
      <color rgb="FFC00000"/>
      <name val="Arial"/>
      <family val="2"/>
    </font>
    <font>
      <u/>
      <sz val="12"/>
      <color theme="1"/>
      <name val="Arial"/>
      <family val="2"/>
    </font>
    <font>
      <b/>
      <u/>
      <sz val="12"/>
      <color theme="1"/>
      <name val="Arial"/>
      <family val="2"/>
    </font>
    <font>
      <sz val="11"/>
      <color theme="0"/>
      <name val="Calibri"/>
      <family val="2"/>
      <scheme val="minor"/>
    </font>
    <font>
      <sz val="12"/>
      <color rgb="FF3C3C3C"/>
      <name val="Helvetica"/>
      <family val="2"/>
    </font>
    <font>
      <sz val="12"/>
      <color rgb="FF800000"/>
      <name val="Calibri"/>
      <family val="2"/>
      <scheme val="minor"/>
    </font>
    <font>
      <b/>
      <sz val="12"/>
      <color rgb="FF002060"/>
      <name val="Calibri"/>
      <family val="2"/>
      <scheme val="minor"/>
    </font>
    <font>
      <b/>
      <sz val="12"/>
      <color rgb="FF800000"/>
      <name val="Arial"/>
      <family val="2"/>
    </font>
    <font>
      <sz val="12"/>
      <color rgb="FF000000"/>
      <name val="Calibri"/>
      <family val="2"/>
      <scheme val="minor"/>
    </font>
    <font>
      <b/>
      <sz val="12"/>
      <color theme="3" tint="-0.249977111117893"/>
      <name val="Calibri"/>
      <family val="2"/>
      <scheme val="minor"/>
    </font>
    <font>
      <b/>
      <sz val="12"/>
      <color theme="3"/>
      <name val="Calibri"/>
      <family val="2"/>
      <charset val="204"/>
      <scheme val="minor"/>
    </font>
  </fonts>
  <fills count="10">
    <fill>
      <patternFill patternType="none"/>
    </fill>
    <fill>
      <patternFill patternType="gray125"/>
    </fill>
    <fill>
      <patternFill patternType="solid">
        <fgColor theme="3"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4"/>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3" tint="0.59999389629810485"/>
        <bgColor indexed="64"/>
      </patternFill>
    </fill>
  </fills>
  <borders count="26">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indexed="64"/>
      </right>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rgb="FF800000"/>
      </left>
      <right/>
      <top style="medium">
        <color rgb="FF800000"/>
      </top>
      <bottom style="medium">
        <color rgb="FF800000"/>
      </bottom>
      <diagonal/>
    </border>
    <border>
      <left/>
      <right style="medium">
        <color rgb="FF800000"/>
      </right>
      <top style="medium">
        <color rgb="FF800000"/>
      </top>
      <bottom style="medium">
        <color rgb="FF800000"/>
      </bottom>
      <diagonal/>
    </border>
  </borders>
  <cellStyleXfs count="1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9" fontId="8" fillId="0" borderId="0" applyFont="0" applyFill="0" applyBorder="0" applyAlignment="0" applyProtection="0"/>
  </cellStyleXfs>
  <cellXfs count="166">
    <xf numFmtId="0" fontId="0" fillId="0" borderId="0" xfId="0"/>
    <xf numFmtId="0" fontId="4" fillId="0" borderId="0" xfId="0" applyFont="1"/>
    <xf numFmtId="166" fontId="0" fillId="0" borderId="0" xfId="0" applyNumberFormat="1"/>
    <xf numFmtId="166" fontId="4" fillId="0" borderId="0" xfId="0" applyNumberFormat="1" applyFont="1"/>
    <xf numFmtId="0" fontId="5" fillId="0" borderId="0" xfId="0" applyFont="1"/>
    <xf numFmtId="0" fontId="1" fillId="2" borderId="0" xfId="0" applyFont="1" applyFill="1"/>
    <xf numFmtId="166" fontId="1" fillId="2" borderId="0" xfId="0" applyNumberFormat="1" applyFont="1" applyFill="1"/>
    <xf numFmtId="0" fontId="1" fillId="2" borderId="0" xfId="0" applyFont="1" applyFill="1" applyAlignment="1">
      <alignment horizontal="center"/>
    </xf>
    <xf numFmtId="0" fontId="6" fillId="0" borderId="0" xfId="0" applyFont="1"/>
    <xf numFmtId="0" fontId="7" fillId="0" borderId="0" xfId="0" applyFont="1"/>
    <xf numFmtId="0" fontId="8" fillId="3" borderId="0" xfId="0" applyFont="1" applyFill="1"/>
    <xf numFmtId="0" fontId="9" fillId="3" borderId="0" xfId="0" applyFont="1" applyFill="1" applyAlignment="1">
      <alignment horizontal="center" vertical="center"/>
    </xf>
    <xf numFmtId="0" fontId="8" fillId="3" borderId="1" xfId="0" applyFont="1" applyFill="1" applyBorder="1"/>
    <xf numFmtId="0" fontId="9" fillId="3" borderId="1" xfId="0" applyFont="1" applyFill="1" applyBorder="1" applyAlignment="1">
      <alignment horizontal="center" vertical="center"/>
    </xf>
    <xf numFmtId="0" fontId="0" fillId="3" borderId="3" xfId="0" applyFill="1" applyBorder="1"/>
    <xf numFmtId="0" fontId="9" fillId="3" borderId="4" xfId="0" applyFont="1" applyFill="1" applyBorder="1" applyAlignment="1">
      <alignment horizontal="center" vertical="center"/>
    </xf>
    <xf numFmtId="0" fontId="0" fillId="3" borderId="5" xfId="0" applyFill="1" applyBorder="1"/>
    <xf numFmtId="0" fontId="0" fillId="3" borderId="6" xfId="0" applyFill="1" applyBorder="1"/>
    <xf numFmtId="0" fontId="0" fillId="3" borderId="7" xfId="0" applyFill="1" applyBorder="1"/>
    <xf numFmtId="0" fontId="10" fillId="0" borderId="2" xfId="0" applyFont="1" applyBorder="1" applyAlignment="1">
      <alignment horizontal="center"/>
    </xf>
    <xf numFmtId="0" fontId="14" fillId="0" borderId="8" xfId="0" applyFont="1" applyBorder="1" applyAlignment="1">
      <alignment vertical="center" wrapText="1"/>
    </xf>
    <xf numFmtId="0" fontId="14" fillId="0" borderId="9" xfId="0" applyFont="1" applyBorder="1" applyAlignment="1">
      <alignment vertical="center" wrapText="1"/>
    </xf>
    <xf numFmtId="0" fontId="14" fillId="0" borderId="10" xfId="0" applyFont="1" applyBorder="1" applyAlignment="1">
      <alignment vertical="center" wrapText="1"/>
    </xf>
    <xf numFmtId="167" fontId="14" fillId="0" borderId="8" xfId="0" applyNumberFormat="1" applyFont="1" applyBorder="1" applyAlignment="1">
      <alignment horizontal="center" vertical="center" wrapText="1"/>
    </xf>
    <xf numFmtId="167" fontId="14" fillId="0" borderId="9" xfId="0" applyNumberFormat="1" applyFont="1" applyBorder="1" applyAlignment="1">
      <alignment horizontal="center" vertical="center" wrapText="1"/>
    </xf>
    <xf numFmtId="167" fontId="14" fillId="0" borderId="10" xfId="0" applyNumberFormat="1" applyFont="1" applyBorder="1" applyAlignment="1">
      <alignment horizontal="center" vertical="center" wrapText="1"/>
    </xf>
    <xf numFmtId="0" fontId="0" fillId="0" borderId="0" xfId="0" applyAlignment="1">
      <alignment horizontal="center"/>
    </xf>
    <xf numFmtId="0" fontId="13" fillId="4" borderId="2" xfId="0" applyFont="1" applyFill="1" applyBorder="1" applyAlignment="1">
      <alignment horizontal="center"/>
    </xf>
    <xf numFmtId="0" fontId="15" fillId="5" borderId="0" xfId="0" applyFont="1" applyFill="1"/>
    <xf numFmtId="0" fontId="0" fillId="5" borderId="0" xfId="0" applyFill="1"/>
    <xf numFmtId="0" fontId="16" fillId="5" borderId="11" xfId="0" applyFont="1" applyFill="1" applyBorder="1"/>
    <xf numFmtId="166" fontId="16" fillId="5" borderId="11" xfId="0" applyNumberFormat="1" applyFont="1" applyFill="1" applyBorder="1"/>
    <xf numFmtId="0" fontId="16" fillId="5" borderId="0" xfId="0" applyFont="1" applyFill="1"/>
    <xf numFmtId="166" fontId="16" fillId="5" borderId="0" xfId="0" applyNumberFormat="1" applyFont="1" applyFill="1"/>
    <xf numFmtId="0" fontId="17" fillId="5" borderId="0" xfId="0" applyFont="1" applyFill="1"/>
    <xf numFmtId="0" fontId="18" fillId="5" borderId="0" xfId="0" applyFont="1" applyFill="1"/>
    <xf numFmtId="0" fontId="19" fillId="5" borderId="0" xfId="0" applyFont="1" applyFill="1"/>
    <xf numFmtId="0" fontId="20" fillId="5" borderId="0" xfId="0" applyFont="1" applyFill="1"/>
    <xf numFmtId="0" fontId="0" fillId="5" borderId="12" xfId="0" applyFill="1" applyBorder="1"/>
    <xf numFmtId="0" fontId="0" fillId="5" borderId="13" xfId="0" applyFill="1" applyBorder="1"/>
    <xf numFmtId="0" fontId="0" fillId="5" borderId="11" xfId="0" applyFill="1" applyBorder="1"/>
    <xf numFmtId="0" fontId="15" fillId="0" borderId="0" xfId="0" applyFont="1"/>
    <xf numFmtId="0" fontId="21" fillId="0" borderId="0" xfId="0" applyFont="1"/>
    <xf numFmtId="0" fontId="22" fillId="2" borderId="8" xfId="0" applyFont="1" applyFill="1" applyBorder="1"/>
    <xf numFmtId="0" fontId="22" fillId="2" borderId="8" xfId="0" applyFont="1" applyFill="1" applyBorder="1" applyAlignment="1">
      <alignment horizontal="center"/>
    </xf>
    <xf numFmtId="0" fontId="22" fillId="2" borderId="0" xfId="0" applyFont="1" applyFill="1" applyAlignment="1">
      <alignment horizontal="center"/>
    </xf>
    <xf numFmtId="0" fontId="16" fillId="0" borderId="8" xfId="0" applyFont="1" applyBorder="1"/>
    <xf numFmtId="9" fontId="16" fillId="0" borderId="5" xfId="0" applyNumberFormat="1" applyFont="1" applyBorder="1"/>
    <xf numFmtId="0" fontId="16" fillId="0" borderId="9" xfId="0" applyFont="1" applyBorder="1"/>
    <xf numFmtId="0" fontId="16" fillId="0" borderId="14" xfId="0" applyFont="1" applyBorder="1"/>
    <xf numFmtId="0" fontId="16" fillId="0" borderId="10" xfId="0" applyFont="1" applyBorder="1"/>
    <xf numFmtId="9" fontId="16" fillId="0" borderId="7" xfId="0" applyNumberFormat="1" applyFont="1" applyBorder="1"/>
    <xf numFmtId="0" fontId="22" fillId="2" borderId="0" xfId="0" applyFont="1" applyFill="1"/>
    <xf numFmtId="0" fontId="16" fillId="0" borderId="0" xfId="0" applyFont="1"/>
    <xf numFmtId="0" fontId="16" fillId="0" borderId="5" xfId="0" applyFont="1" applyBorder="1"/>
    <xf numFmtId="166" fontId="16" fillId="0" borderId="9" xfId="0" applyNumberFormat="1" applyFont="1" applyBorder="1"/>
    <xf numFmtId="166" fontId="16" fillId="0" borderId="14" xfId="0" applyNumberFormat="1" applyFont="1" applyBorder="1"/>
    <xf numFmtId="166" fontId="16" fillId="0" borderId="7" xfId="0" applyNumberFormat="1" applyFont="1" applyBorder="1"/>
    <xf numFmtId="0" fontId="17" fillId="0" borderId="0" xfId="0" applyFont="1"/>
    <xf numFmtId="0" fontId="23" fillId="0" borderId="0" xfId="0" applyFont="1"/>
    <xf numFmtId="0" fontId="24" fillId="0" borderId="0" xfId="0" applyFont="1"/>
    <xf numFmtId="0" fontId="25" fillId="6" borderId="0" xfId="0" applyFont="1" applyFill="1"/>
    <xf numFmtId="0" fontId="25" fillId="6" borderId="0" xfId="0" applyFont="1" applyFill="1" applyAlignment="1">
      <alignment horizontal="center"/>
    </xf>
    <xf numFmtId="0" fontId="25" fillId="6" borderId="6" xfId="0" applyFont="1" applyFill="1" applyBorder="1" applyAlignment="1">
      <alignment horizontal="center"/>
    </xf>
    <xf numFmtId="0" fontId="25" fillId="6" borderId="7" xfId="0" applyFont="1" applyFill="1" applyBorder="1" applyAlignment="1">
      <alignment horizontal="center"/>
    </xf>
    <xf numFmtId="0" fontId="0" fillId="0" borderId="9" xfId="0" applyBorder="1"/>
    <xf numFmtId="0" fontId="0" fillId="0" borderId="14" xfId="0" applyBorder="1"/>
    <xf numFmtId="0" fontId="0" fillId="0" borderId="9" xfId="0" applyBorder="1" applyAlignment="1">
      <alignment horizontal="right"/>
    </xf>
    <xf numFmtId="0" fontId="0" fillId="7" borderId="2" xfId="0" applyFill="1" applyBorder="1" applyAlignment="1">
      <alignment horizontal="right"/>
    </xf>
    <xf numFmtId="0" fontId="10" fillId="7" borderId="2" xfId="0" applyFont="1" applyFill="1" applyBorder="1"/>
    <xf numFmtId="0" fontId="0" fillId="0" borderId="3" xfId="0" applyBorder="1" applyAlignment="1">
      <alignment horizontal="right"/>
    </xf>
    <xf numFmtId="165" fontId="0" fillId="0" borderId="9" xfId="9" applyFont="1" applyBorder="1"/>
    <xf numFmtId="165" fontId="0" fillId="0" borderId="14" xfId="9" applyFont="1" applyBorder="1"/>
    <xf numFmtId="0" fontId="26" fillId="0" borderId="10" xfId="0" applyFont="1" applyBorder="1" applyAlignment="1">
      <alignment horizontal="right"/>
    </xf>
    <xf numFmtId="165" fontId="0" fillId="7" borderId="2" xfId="9" applyFont="1" applyFill="1" applyBorder="1"/>
    <xf numFmtId="0" fontId="10" fillId="7" borderId="0" xfId="0" applyFont="1" applyFill="1" applyAlignment="1">
      <alignment horizontal="center"/>
    </xf>
    <xf numFmtId="0" fontId="0" fillId="0" borderId="4" xfId="0" applyBorder="1"/>
    <xf numFmtId="168" fontId="0" fillId="0" borderId="3" xfId="0" applyNumberFormat="1" applyBorder="1"/>
    <xf numFmtId="168" fontId="0" fillId="0" borderId="5" xfId="0" applyNumberFormat="1" applyBorder="1"/>
    <xf numFmtId="168" fontId="0" fillId="0" borderId="0" xfId="0" applyNumberFormat="1"/>
    <xf numFmtId="0" fontId="0" fillId="0" borderId="15" xfId="0" applyBorder="1" applyAlignment="1">
      <alignment horizontal="right"/>
    </xf>
    <xf numFmtId="168" fontId="0" fillId="0" borderId="15" xfId="0" applyNumberFormat="1" applyBorder="1"/>
    <xf numFmtId="168" fontId="0" fillId="0" borderId="14" xfId="0" applyNumberFormat="1" applyBorder="1"/>
    <xf numFmtId="0" fontId="10" fillId="0" borderId="16" xfId="0" applyFont="1" applyBorder="1" applyAlignment="1">
      <alignment horizontal="right"/>
    </xf>
    <xf numFmtId="0" fontId="0" fillId="0" borderId="17" xfId="0" applyBorder="1"/>
    <xf numFmtId="168" fontId="10" fillId="0" borderId="3" xfId="0" applyNumberFormat="1" applyFont="1" applyBorder="1"/>
    <xf numFmtId="168" fontId="0" fillId="0" borderId="2" xfId="0" applyNumberFormat="1" applyBorder="1"/>
    <xf numFmtId="0" fontId="0" fillId="0" borderId="15" xfId="0" applyBorder="1"/>
    <xf numFmtId="164" fontId="0" fillId="0" borderId="2" xfId="10" applyFont="1" applyBorder="1"/>
    <xf numFmtId="164" fontId="0" fillId="0" borderId="18" xfId="10" applyFont="1" applyBorder="1"/>
    <xf numFmtId="0" fontId="0" fillId="0" borderId="16" xfId="0" applyBorder="1" applyAlignment="1">
      <alignment horizontal="right"/>
    </xf>
    <xf numFmtId="168" fontId="0" fillId="0" borderId="16" xfId="0" applyNumberFormat="1" applyBorder="1"/>
    <xf numFmtId="0" fontId="25" fillId="6" borderId="2" xfId="0" applyFont="1" applyFill="1" applyBorder="1" applyAlignment="1">
      <alignment horizontal="center"/>
    </xf>
    <xf numFmtId="0" fontId="25" fillId="6" borderId="18" xfId="0" applyFont="1" applyFill="1" applyBorder="1" applyAlignment="1">
      <alignment horizontal="center"/>
    </xf>
    <xf numFmtId="0" fontId="0" fillId="0" borderId="19" xfId="0" applyBorder="1" applyAlignment="1">
      <alignment horizontal="center"/>
    </xf>
    <xf numFmtId="0" fontId="0" fillId="0" borderId="16" xfId="0" applyBorder="1"/>
    <xf numFmtId="168" fontId="0" fillId="0" borderId="18" xfId="0" applyNumberFormat="1" applyBorder="1"/>
    <xf numFmtId="168" fontId="0" fillId="0" borderId="20" xfId="0" applyNumberFormat="1" applyBorder="1"/>
    <xf numFmtId="0" fontId="0" fillId="5" borderId="16" xfId="0" applyFill="1" applyBorder="1"/>
    <xf numFmtId="0" fontId="0" fillId="5" borderId="17" xfId="0" applyFill="1" applyBorder="1"/>
    <xf numFmtId="168" fontId="0" fillId="5" borderId="2" xfId="0" applyNumberFormat="1" applyFill="1" applyBorder="1"/>
    <xf numFmtId="168" fontId="0" fillId="5" borderId="18" xfId="0" applyNumberFormat="1" applyFill="1" applyBorder="1"/>
    <xf numFmtId="0" fontId="0" fillId="0" borderId="21" xfId="0" applyBorder="1"/>
    <xf numFmtId="0" fontId="21" fillId="5" borderId="0" xfId="0" applyFont="1" applyFill="1"/>
    <xf numFmtId="0" fontId="28" fillId="5" borderId="0" xfId="0" applyFont="1" applyFill="1"/>
    <xf numFmtId="0" fontId="29" fillId="7" borderId="2" xfId="0" applyFont="1" applyFill="1" applyBorder="1" applyAlignment="1">
      <alignment horizontal="center"/>
    </xf>
    <xf numFmtId="0" fontId="16" fillId="5" borderId="11" xfId="0" applyFont="1" applyFill="1" applyBorder="1" applyAlignment="1">
      <alignment horizontal="center"/>
    </xf>
    <xf numFmtId="167" fontId="16" fillId="5" borderId="22" xfId="0" applyNumberFormat="1" applyFont="1" applyFill="1" applyBorder="1" applyAlignment="1">
      <alignment horizontal="center"/>
    </xf>
    <xf numFmtId="167" fontId="16" fillId="5" borderId="11" xfId="0" applyNumberFormat="1" applyFont="1" applyFill="1" applyBorder="1" applyAlignment="1">
      <alignment horizontal="center"/>
    </xf>
    <xf numFmtId="0" fontId="16" fillId="5" borderId="23" xfId="0" applyFont="1" applyFill="1" applyBorder="1" applyAlignment="1">
      <alignment horizontal="center"/>
    </xf>
    <xf numFmtId="0" fontId="9" fillId="8" borderId="2" xfId="0" applyFont="1" applyFill="1" applyBorder="1"/>
    <xf numFmtId="167" fontId="28" fillId="8" borderId="1" xfId="0" applyNumberFormat="1" applyFont="1" applyFill="1" applyBorder="1" applyAlignment="1">
      <alignment horizontal="center"/>
    </xf>
    <xf numFmtId="167" fontId="28" fillId="8" borderId="7" xfId="0" applyNumberFormat="1" applyFont="1" applyFill="1" applyBorder="1" applyAlignment="1">
      <alignment horizontal="center"/>
    </xf>
    <xf numFmtId="167" fontId="9" fillId="5" borderId="2" xfId="0" applyNumberFormat="1" applyFont="1" applyFill="1" applyBorder="1" applyAlignment="1">
      <alignment horizontal="center"/>
    </xf>
    <xf numFmtId="0" fontId="30" fillId="6" borderId="21" xfId="0" applyFont="1" applyFill="1" applyBorder="1" applyAlignment="1">
      <alignment horizontal="center"/>
    </xf>
    <xf numFmtId="0" fontId="0" fillId="0" borderId="8" xfId="0" applyBorder="1"/>
    <xf numFmtId="0" fontId="0" fillId="0" borderId="5" xfId="0" applyBorder="1"/>
    <xf numFmtId="0" fontId="13" fillId="0" borderId="2" xfId="0" applyFont="1" applyBorder="1"/>
    <xf numFmtId="169" fontId="0" fillId="0" borderId="0" xfId="0" applyNumberFormat="1"/>
    <xf numFmtId="170" fontId="0" fillId="0" borderId="0" xfId="0" applyNumberFormat="1"/>
    <xf numFmtId="0" fontId="31" fillId="0" borderId="0" xfId="0" applyFont="1"/>
    <xf numFmtId="169" fontId="0" fillId="0" borderId="5" xfId="0" applyNumberFormat="1" applyBorder="1"/>
    <xf numFmtId="169" fontId="0" fillId="0" borderId="14" xfId="0" applyNumberFormat="1" applyBorder="1"/>
    <xf numFmtId="0" fontId="0" fillId="0" borderId="10" xfId="0" applyBorder="1"/>
    <xf numFmtId="169" fontId="0" fillId="0" borderId="7" xfId="0" applyNumberFormat="1" applyBorder="1"/>
    <xf numFmtId="0" fontId="32" fillId="0" borderId="0" xfId="0" applyFont="1"/>
    <xf numFmtId="0" fontId="6" fillId="0" borderId="0" xfId="0" applyFont="1" applyAlignment="1">
      <alignment horizontal="right"/>
    </xf>
    <xf numFmtId="0" fontId="0" fillId="0" borderId="0" xfId="0" applyAlignment="1">
      <alignment horizontal="right"/>
    </xf>
    <xf numFmtId="169" fontId="0" fillId="0" borderId="8" xfId="0" applyNumberFormat="1" applyBorder="1"/>
    <xf numFmtId="169" fontId="0" fillId="0" borderId="2" xfId="0" applyNumberFormat="1" applyBorder="1"/>
    <xf numFmtId="169" fontId="0" fillId="0" borderId="18" xfId="0" applyNumberFormat="1" applyBorder="1"/>
    <xf numFmtId="0" fontId="33" fillId="0" borderId="0" xfId="0" applyFont="1"/>
    <xf numFmtId="171" fontId="0" fillId="0" borderId="0" xfId="0" applyNumberFormat="1"/>
    <xf numFmtId="171" fontId="33" fillId="0" borderId="0" xfId="0" applyNumberFormat="1" applyFont="1"/>
    <xf numFmtId="169" fontId="33" fillId="0" borderId="0" xfId="0" applyNumberFormat="1" applyFont="1"/>
    <xf numFmtId="0" fontId="11" fillId="9" borderId="10" xfId="0" applyFont="1" applyFill="1" applyBorder="1" applyAlignment="1">
      <alignment horizontal="center"/>
    </xf>
    <xf numFmtId="0" fontId="11" fillId="9" borderId="7" xfId="0" applyFont="1" applyFill="1" applyBorder="1" applyAlignment="1">
      <alignment horizontal="center"/>
    </xf>
    <xf numFmtId="166" fontId="0" fillId="0" borderId="3" xfId="0" applyNumberFormat="1" applyBorder="1"/>
    <xf numFmtId="166" fontId="0" fillId="0" borderId="5" xfId="0" applyNumberFormat="1" applyBorder="1"/>
    <xf numFmtId="0" fontId="0" fillId="0" borderId="2" xfId="0" applyBorder="1"/>
    <xf numFmtId="166" fontId="0" fillId="0" borderId="6" xfId="0" applyNumberFormat="1" applyBorder="1"/>
    <xf numFmtId="166" fontId="0" fillId="0" borderId="7" xfId="0" applyNumberFormat="1" applyBorder="1"/>
    <xf numFmtId="0" fontId="18" fillId="0" borderId="0" xfId="0" applyFont="1"/>
    <xf numFmtId="9" fontId="0" fillId="0" borderId="0" xfId="11" applyFont="1"/>
    <xf numFmtId="9" fontId="0" fillId="0" borderId="0" xfId="0" applyNumberFormat="1"/>
    <xf numFmtId="171" fontId="35" fillId="0" borderId="0" xfId="0" applyNumberFormat="1" applyFont="1"/>
    <xf numFmtId="0" fontId="35" fillId="0" borderId="0" xfId="0" applyFont="1"/>
    <xf numFmtId="170" fontId="35" fillId="0" borderId="0" xfId="0" applyNumberFormat="1" applyFont="1"/>
    <xf numFmtId="169" fontId="12" fillId="0" borderId="0" xfId="0" applyNumberFormat="1" applyFont="1"/>
    <xf numFmtId="0" fontId="12" fillId="0" borderId="0" xfId="0" applyFont="1"/>
    <xf numFmtId="2" fontId="12" fillId="0" borderId="0" xfId="0" applyNumberFormat="1" applyFont="1"/>
    <xf numFmtId="0" fontId="36" fillId="0" borderId="3" xfId="0" applyFont="1" applyBorder="1"/>
    <xf numFmtId="0" fontId="36" fillId="0" borderId="4" xfId="0" applyFont="1" applyBorder="1"/>
    <xf numFmtId="0" fontId="36" fillId="0" borderId="5" xfId="0" applyFont="1" applyBorder="1"/>
    <xf numFmtId="0" fontId="0" fillId="0" borderId="11" xfId="0" applyBorder="1"/>
    <xf numFmtId="166" fontId="0" fillId="0" borderId="11" xfId="0" applyNumberFormat="1" applyBorder="1"/>
    <xf numFmtId="0" fontId="37" fillId="0" borderId="0" xfId="0" applyFont="1"/>
    <xf numFmtId="0" fontId="32" fillId="0" borderId="24" xfId="0" applyFont="1" applyBorder="1" applyAlignment="1">
      <alignment horizontal="center"/>
    </xf>
    <xf numFmtId="0" fontId="32" fillId="0" borderId="25" xfId="0" applyFont="1" applyBorder="1" applyAlignment="1">
      <alignment horizontal="center"/>
    </xf>
    <xf numFmtId="0" fontId="4" fillId="0" borderId="0" xfId="0" applyFont="1" applyAlignment="1">
      <alignment horizontal="center"/>
    </xf>
    <xf numFmtId="0" fontId="0" fillId="0" borderId="0" xfId="0"/>
    <xf numFmtId="0" fontId="25" fillId="6" borderId="3" xfId="0" applyFont="1" applyFill="1" applyBorder="1" applyAlignment="1">
      <alignment horizontal="center"/>
    </xf>
    <xf numFmtId="0" fontId="25" fillId="6" borderId="5" xfId="0" applyFont="1" applyFill="1" applyBorder="1" applyAlignment="1">
      <alignment horizontal="center"/>
    </xf>
    <xf numFmtId="0" fontId="0" fillId="0" borderId="19" xfId="0" applyBorder="1" applyAlignment="1">
      <alignment horizontal="center"/>
    </xf>
    <xf numFmtId="0" fontId="0" fillId="0" borderId="0" xfId="0" applyFont="1" applyAlignment="1">
      <alignment horizontal="left" vertical="top" wrapText="1"/>
    </xf>
    <xf numFmtId="0" fontId="0" fillId="0" borderId="18" xfId="11" applyNumberFormat="1" applyFont="1" applyBorder="1"/>
  </cellXfs>
  <cellStyles count="12">
    <cellStyle name="Comma" xfId="9" builtinId="3"/>
    <cellStyle name="Currency" xfId="10" builtinId="4"/>
    <cellStyle name="Followed Hyperlink" xfId="2" builtinId="9" hidden="1"/>
    <cellStyle name="Followed Hyperlink" xfId="4" builtinId="9" hidden="1"/>
    <cellStyle name="Followed Hyperlink" xfId="6" builtinId="9" hidden="1"/>
    <cellStyle name="Followed Hyperlink" xfId="8" builtinId="9" hidden="1"/>
    <cellStyle name="Hyperlink" xfId="1" builtinId="8" hidden="1"/>
    <cellStyle name="Hyperlink" xfId="3" builtinId="8" hidden="1"/>
    <cellStyle name="Hyperlink" xfId="5" builtinId="8" hidden="1"/>
    <cellStyle name="Hyperlink" xfId="7" builtinId="8" hidden="1"/>
    <cellStyle name="Normal" xfId="0" builtinId="0"/>
    <cellStyle name="Percent" xfId="11"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1</xdr:col>
      <xdr:colOff>270934</xdr:colOff>
      <xdr:row>0</xdr:row>
      <xdr:rowOff>152400</xdr:rowOff>
    </xdr:from>
    <xdr:ext cx="8174354" cy="608628"/>
    <xdr:sp macro="" textlink="">
      <xdr:nvSpPr>
        <xdr:cNvPr id="2" name="CuadroTexto 1">
          <a:extLst>
            <a:ext uri="{FF2B5EF4-FFF2-40B4-BE49-F238E27FC236}">
              <a16:creationId xmlns:a16="http://schemas.microsoft.com/office/drawing/2014/main" id="{224D59DE-F6E7-2F49-0EBF-2F59A234FA8E}"/>
            </a:ext>
          </a:extLst>
        </xdr:cNvPr>
        <xdr:cNvSpPr txBox="1"/>
      </xdr:nvSpPr>
      <xdr:spPr>
        <a:xfrm>
          <a:off x="1100667" y="152400"/>
          <a:ext cx="8174354" cy="6086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GoldenWhisk Bakery (USA) is an artisanal bakery chain that prepares monthly cash budgets to support planning and liquidity management. </a:t>
          </a:r>
        </a:p>
        <a:p>
          <a:r>
            <a:rPr lang="en-US" sz="1100">
              <a:solidFill>
                <a:schemeClr val="tx1"/>
              </a:solidFill>
              <a:effectLst/>
              <a:latin typeface="+mn-lt"/>
              <a:ea typeface="+mn-ea"/>
              <a:cs typeface="+mn-cs"/>
            </a:rPr>
            <a:t>Assume that GoldenWhisk prepares monthly cash budgets. Relevant data from assumed operating budgets for 2025 are as follows:</a:t>
          </a:r>
          <a:endParaRPr lang="es-ES" sz="1100">
            <a:solidFill>
              <a:schemeClr val="tx1"/>
            </a:solidFill>
            <a:effectLst/>
            <a:latin typeface="+mn-lt"/>
            <a:ea typeface="+mn-ea"/>
            <a:cs typeface="+mn-cs"/>
          </a:endParaRPr>
        </a:p>
        <a:p>
          <a:endParaRPr lang="es-ES_tradnl" sz="1100"/>
        </a:p>
      </xdr:txBody>
    </xdr:sp>
    <xdr:clientData/>
  </xdr:oneCellAnchor>
  <xdr:oneCellAnchor>
    <xdr:from>
      <xdr:col>0</xdr:col>
      <xdr:colOff>762001</xdr:colOff>
      <xdr:row>11</xdr:row>
      <xdr:rowOff>8467</xdr:rowOff>
    </xdr:from>
    <xdr:ext cx="9611542" cy="3190617"/>
    <xdr:sp macro="" textlink="">
      <xdr:nvSpPr>
        <xdr:cNvPr id="3" name="CuadroTexto 2">
          <a:extLst>
            <a:ext uri="{FF2B5EF4-FFF2-40B4-BE49-F238E27FC236}">
              <a16:creationId xmlns:a16="http://schemas.microsoft.com/office/drawing/2014/main" id="{2D51F274-FC47-8A16-B5FF-1B4253A6FF1E}"/>
            </a:ext>
          </a:extLst>
        </xdr:cNvPr>
        <xdr:cNvSpPr txBox="1"/>
      </xdr:nvSpPr>
      <xdr:spPr>
        <a:xfrm>
          <a:off x="762001" y="2294467"/>
          <a:ext cx="9611542" cy="31906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chemeClr val="tx1"/>
              </a:solidFill>
              <a:effectLst/>
              <a:latin typeface="+mn-lt"/>
              <a:ea typeface="+mn-ea"/>
              <a:cs typeface="+mn-cs"/>
            </a:rPr>
            <a:t>GoldenWhisk sells its products through company-owned stores and wholesale distribution to cafés and supermarkets. </a:t>
          </a:r>
        </a:p>
        <a:p>
          <a:r>
            <a:rPr lang="en-US" sz="1100">
              <a:solidFill>
                <a:schemeClr val="tx1"/>
              </a:solidFill>
              <a:effectLst/>
              <a:latin typeface="+mn-lt"/>
              <a:ea typeface="+mn-ea"/>
              <a:cs typeface="+mn-cs"/>
            </a:rPr>
            <a:t>Cash collections are expected to be 72% in the month of sale and 28% in the month following sale. </a:t>
          </a:r>
        </a:p>
        <a:p>
          <a:r>
            <a:rPr lang="en-US" sz="1100">
              <a:solidFill>
                <a:schemeClr val="tx1"/>
              </a:solidFill>
              <a:effectLst/>
              <a:latin typeface="+mn-lt"/>
              <a:ea typeface="+mn-ea"/>
              <a:cs typeface="+mn-cs"/>
            </a:rPr>
            <a:t>The company pays 60% of direct materials purchases in cash during the month of purchase, with the remaining balance paid in the following month. </a:t>
          </a:r>
        </a:p>
        <a:p>
          <a:r>
            <a:rPr lang="en-US" sz="1100">
              <a:solidFill>
                <a:schemeClr val="tx1"/>
              </a:solidFill>
              <a:effectLst/>
              <a:latin typeface="+mn-lt"/>
              <a:ea typeface="+mn-ea"/>
              <a:cs typeface="+mn-cs"/>
            </a:rPr>
            <a:t>All other costs listed above are paid in the month incurred. (Depreciation has been excluded from manufacturing overhead and selling and administrative expenses.)</a:t>
          </a:r>
          <a:endParaRPr lang="es-ES" sz="1100">
            <a:solidFill>
              <a:schemeClr val="tx1"/>
            </a:solidFill>
            <a:effectLst/>
            <a:latin typeface="+mn-lt"/>
            <a:ea typeface="+mn-ea"/>
            <a:cs typeface="+mn-cs"/>
          </a:endParaRPr>
        </a:p>
        <a:p>
          <a:endParaRPr lang="en-US" sz="1100" b="1">
            <a:solidFill>
              <a:schemeClr val="tx1"/>
            </a:solidFill>
            <a:effectLst/>
            <a:latin typeface="+mn-lt"/>
            <a:ea typeface="+mn-ea"/>
            <a:cs typeface="+mn-cs"/>
          </a:endParaRPr>
        </a:p>
        <a:p>
          <a:r>
            <a:rPr lang="en-US" sz="1100" b="1">
              <a:solidFill>
                <a:schemeClr val="tx1"/>
              </a:solidFill>
              <a:effectLst/>
              <a:latin typeface="+mn-lt"/>
              <a:ea typeface="+mn-ea"/>
              <a:cs typeface="+mn-cs"/>
            </a:rPr>
            <a:t>Other Data:</a:t>
          </a:r>
          <a:endParaRPr lang="es-ES" sz="1100" b="1">
            <a:solidFill>
              <a:schemeClr val="tx1"/>
            </a:solidFill>
            <a:effectLst/>
            <a:latin typeface="+mn-lt"/>
            <a:ea typeface="+mn-ea"/>
            <a:cs typeface="+mn-cs"/>
          </a:endParaRPr>
        </a:p>
        <a:p>
          <a:pPr lvl="0"/>
          <a:r>
            <a:rPr lang="en-US" sz="1100">
              <a:solidFill>
                <a:schemeClr val="tx1"/>
              </a:solidFill>
              <a:effectLst/>
              <a:latin typeface="+mn-lt"/>
              <a:ea typeface="+mn-ea"/>
              <a:cs typeface="+mn-cs"/>
            </a:rPr>
            <a:t>Sales: April 2025, $480,000</a:t>
          </a:r>
          <a:endParaRPr lang="es-ES" sz="1100">
            <a:solidFill>
              <a:schemeClr val="tx1"/>
            </a:solidFill>
            <a:effectLst/>
            <a:latin typeface="+mn-lt"/>
            <a:ea typeface="+mn-ea"/>
            <a:cs typeface="+mn-cs"/>
          </a:endParaRPr>
        </a:p>
        <a:p>
          <a:pPr lvl="0"/>
          <a:r>
            <a:rPr lang="en-US" sz="1100">
              <a:solidFill>
                <a:schemeClr val="tx1"/>
              </a:solidFill>
              <a:effectLst/>
              <a:latin typeface="+mn-lt"/>
              <a:ea typeface="+mn-ea"/>
              <a:cs typeface="+mn-cs"/>
            </a:rPr>
            <a:t>Purchases of direct materials: April 2025, $215,000</a:t>
          </a:r>
          <a:endParaRPr lang="es-ES" sz="1100">
            <a:solidFill>
              <a:schemeClr val="tx1"/>
            </a:solidFill>
            <a:effectLst/>
            <a:latin typeface="+mn-lt"/>
            <a:ea typeface="+mn-ea"/>
            <a:cs typeface="+mn-cs"/>
          </a:endParaRPr>
        </a:p>
        <a:p>
          <a:pPr lvl="0"/>
          <a:r>
            <a:rPr lang="en-US" sz="1100">
              <a:solidFill>
                <a:schemeClr val="tx1"/>
              </a:solidFill>
              <a:effectLst/>
              <a:latin typeface="+mn-lt"/>
              <a:ea typeface="+mn-ea"/>
              <a:cs typeface="+mn-cs"/>
            </a:rPr>
            <a:t>Other receipts: May – Insurance reimbursement received, $3,000; June – Sale of delivery van, $8,000</a:t>
          </a:r>
          <a:endParaRPr lang="es-ES" sz="1100">
            <a:solidFill>
              <a:schemeClr val="tx1"/>
            </a:solidFill>
            <a:effectLst/>
            <a:latin typeface="+mn-lt"/>
            <a:ea typeface="+mn-ea"/>
            <a:cs typeface="+mn-cs"/>
          </a:endParaRPr>
        </a:p>
        <a:p>
          <a:pPr lvl="0"/>
          <a:r>
            <a:rPr lang="en-US" sz="1100">
              <a:solidFill>
                <a:schemeClr val="tx1"/>
              </a:solidFill>
              <a:effectLst/>
              <a:latin typeface="+mn-lt"/>
              <a:ea typeface="+mn-ea"/>
              <a:cs typeface="+mn-cs"/>
            </a:rPr>
            <a:t>Other disbursements: June – Purchase of production equipment, $20,000</a:t>
          </a:r>
          <a:endParaRPr lang="es-ES" sz="1100">
            <a:solidFill>
              <a:schemeClr val="tx1"/>
            </a:solidFill>
            <a:effectLst/>
            <a:latin typeface="+mn-lt"/>
            <a:ea typeface="+mn-ea"/>
            <a:cs typeface="+mn-cs"/>
          </a:endParaRPr>
        </a:p>
        <a:p>
          <a:pPr lvl="0"/>
          <a:r>
            <a:rPr lang="en-US" sz="1100">
              <a:solidFill>
                <a:schemeClr val="tx1"/>
              </a:solidFill>
              <a:effectLst/>
              <a:latin typeface="+mn-lt"/>
              <a:ea typeface="+mn-ea"/>
              <a:cs typeface="+mn-cs"/>
            </a:rPr>
            <a:t>Debt repayment: May, $35,000</a:t>
          </a:r>
          <a:endParaRPr lang="es-ES" sz="1100">
            <a:solidFill>
              <a:schemeClr val="tx1"/>
            </a:solidFill>
            <a:effectLst/>
            <a:latin typeface="+mn-lt"/>
            <a:ea typeface="+mn-ea"/>
            <a:cs typeface="+mn-cs"/>
          </a:endParaRPr>
        </a:p>
        <a:p>
          <a:pPr lvl="0"/>
          <a:r>
            <a:rPr lang="en-US" sz="1100">
              <a:solidFill>
                <a:schemeClr val="tx1"/>
              </a:solidFill>
              <a:effectLst/>
              <a:latin typeface="+mn-lt"/>
              <a:ea typeface="+mn-ea"/>
              <a:cs typeface="+mn-cs"/>
            </a:rPr>
            <a:t>The company’s cash balance on May 1, 2025, is expected to be $55,000.</a:t>
          </a:r>
          <a:endParaRPr lang="es-ES" sz="1100">
            <a:solidFill>
              <a:schemeClr val="tx1"/>
            </a:solidFill>
            <a:effectLst/>
            <a:latin typeface="+mn-lt"/>
            <a:ea typeface="+mn-ea"/>
            <a:cs typeface="+mn-cs"/>
          </a:endParaRPr>
        </a:p>
        <a:p>
          <a:pPr lvl="0"/>
          <a:r>
            <a:rPr lang="en-US" sz="1100">
              <a:solidFill>
                <a:schemeClr val="tx1"/>
              </a:solidFill>
              <a:effectLst/>
              <a:latin typeface="+mn-lt"/>
              <a:ea typeface="+mn-ea"/>
              <a:cs typeface="+mn-cs"/>
            </a:rPr>
            <a:t>GoldenWhisk wants to maintain a minimum cash balance of $50,000.</a:t>
          </a:r>
          <a:endParaRPr lang="es-ES" sz="1100">
            <a:solidFill>
              <a:schemeClr val="tx1"/>
            </a:solidFill>
            <a:effectLst/>
            <a:latin typeface="+mn-lt"/>
            <a:ea typeface="+mn-ea"/>
            <a:cs typeface="+mn-cs"/>
          </a:endParaRPr>
        </a:p>
        <a:p>
          <a:endParaRPr lang="en-US" sz="1100" b="1">
            <a:solidFill>
              <a:schemeClr val="tx1"/>
            </a:solidFill>
            <a:effectLst/>
            <a:latin typeface="+mn-lt"/>
            <a:ea typeface="+mn-ea"/>
            <a:cs typeface="+mn-cs"/>
          </a:endParaRPr>
        </a:p>
        <a:p>
          <a:r>
            <a:rPr lang="en-US" sz="1100" b="1">
              <a:solidFill>
                <a:schemeClr val="tx1"/>
              </a:solidFill>
              <a:effectLst/>
              <a:latin typeface="+mn-lt"/>
              <a:ea typeface="+mn-ea"/>
              <a:cs typeface="+mn-cs"/>
            </a:rPr>
            <a:t>Instructions:</a:t>
          </a:r>
          <a:endParaRPr lang="es-ES" sz="1100" b="1">
            <a:solidFill>
              <a:schemeClr val="tx1"/>
            </a:solidFill>
            <a:effectLst/>
            <a:latin typeface="+mn-lt"/>
            <a:ea typeface="+mn-ea"/>
            <a:cs typeface="+mn-cs"/>
          </a:endParaRPr>
        </a:p>
        <a:p>
          <a:r>
            <a:rPr lang="en-US" sz="1100">
              <a:solidFill>
                <a:schemeClr val="tx1"/>
              </a:solidFill>
              <a:effectLst/>
              <a:latin typeface="+mn-lt"/>
              <a:ea typeface="+mn-ea"/>
              <a:cs typeface="+mn-cs"/>
            </a:rPr>
            <a:t>a. Prepare schedules for (1) expected collections from customers and (2) expected cash payments for direct materials purchases for May and June.</a:t>
          </a:r>
          <a:br>
            <a:rPr lang="en-US" sz="1100">
              <a:solidFill>
                <a:schemeClr val="tx1"/>
              </a:solidFill>
              <a:effectLst/>
              <a:latin typeface="+mn-lt"/>
              <a:ea typeface="+mn-ea"/>
              <a:cs typeface="+mn-cs"/>
            </a:rPr>
          </a:br>
          <a:r>
            <a:rPr lang="en-US" sz="1100">
              <a:solidFill>
                <a:schemeClr val="tx1"/>
              </a:solidFill>
              <a:effectLst/>
              <a:latin typeface="+mn-lt"/>
              <a:ea typeface="+mn-ea"/>
              <a:cs typeface="+mn-cs"/>
            </a:rPr>
            <a:t>b. Prepare a cash budget for May and June in columnar form.</a:t>
          </a:r>
          <a:endParaRPr lang="es-ES" sz="1100">
            <a:solidFill>
              <a:schemeClr val="tx1"/>
            </a:solidFill>
            <a:effectLst/>
            <a:latin typeface="+mn-lt"/>
            <a:ea typeface="+mn-ea"/>
            <a:cs typeface="+mn-cs"/>
          </a:endParaRPr>
        </a:p>
        <a:p>
          <a:endParaRPr lang="es-ES_tradnl"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50800</xdr:colOff>
      <xdr:row>2</xdr:row>
      <xdr:rowOff>33867</xdr:rowOff>
    </xdr:from>
    <xdr:ext cx="4895096" cy="261610"/>
    <xdr:sp macro="" textlink="">
      <xdr:nvSpPr>
        <xdr:cNvPr id="2" name="CuadroTexto 1">
          <a:extLst>
            <a:ext uri="{FF2B5EF4-FFF2-40B4-BE49-F238E27FC236}">
              <a16:creationId xmlns:a16="http://schemas.microsoft.com/office/drawing/2014/main" id="{C1190233-557F-1B4D-A7A6-5C73368AF35F}"/>
            </a:ext>
          </a:extLst>
        </xdr:cNvPr>
        <xdr:cNvSpPr txBox="1"/>
      </xdr:nvSpPr>
      <xdr:spPr>
        <a:xfrm>
          <a:off x="50800" y="452967"/>
          <a:ext cx="4895096" cy="261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1100"/>
            <a:t>Los Angeles Ltd. has collected the following information after its first year of sales:</a:t>
          </a:r>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0</xdr:col>
      <xdr:colOff>304800</xdr:colOff>
      <xdr:row>4</xdr:row>
      <xdr:rowOff>123825</xdr:rowOff>
    </xdr:to>
    <xdr:sp macro="" textlink="">
      <xdr:nvSpPr>
        <xdr:cNvPr id="2" name="AutoShape 1" descr="on">
          <a:extLst>
            <a:ext uri="{FF2B5EF4-FFF2-40B4-BE49-F238E27FC236}">
              <a16:creationId xmlns:a16="http://schemas.microsoft.com/office/drawing/2014/main" id="{23E9D129-1628-274F-BC99-2A5397DD72D0}"/>
            </a:ext>
          </a:extLst>
        </xdr:cNvPr>
        <xdr:cNvSpPr>
          <a:spLocks noChangeAspect="1" noChangeArrowheads="1"/>
        </xdr:cNvSpPr>
      </xdr:nvSpPr>
      <xdr:spPr bwMode="auto">
        <a:xfrm>
          <a:off x="0" y="609600"/>
          <a:ext cx="304800" cy="327025"/>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twoCellAnchor editAs="oneCell">
    <xdr:from>
      <xdr:col>0</xdr:col>
      <xdr:colOff>0</xdr:colOff>
      <xdr:row>4</xdr:row>
      <xdr:rowOff>0</xdr:rowOff>
    </xdr:from>
    <xdr:to>
      <xdr:col>0</xdr:col>
      <xdr:colOff>304800</xdr:colOff>
      <xdr:row>5</xdr:row>
      <xdr:rowOff>123825</xdr:rowOff>
    </xdr:to>
    <xdr:sp macro="" textlink="">
      <xdr:nvSpPr>
        <xdr:cNvPr id="3" name="AutoShape 2" descr="on">
          <a:extLst>
            <a:ext uri="{FF2B5EF4-FFF2-40B4-BE49-F238E27FC236}">
              <a16:creationId xmlns:a16="http://schemas.microsoft.com/office/drawing/2014/main" id="{B73F1185-7EB6-D345-ABAB-38F6AEE7A838}"/>
            </a:ext>
          </a:extLst>
        </xdr:cNvPr>
        <xdr:cNvSpPr>
          <a:spLocks noChangeAspect="1" noChangeArrowheads="1"/>
        </xdr:cNvSpPr>
      </xdr:nvSpPr>
      <xdr:spPr bwMode="auto">
        <a:xfrm>
          <a:off x="0" y="812800"/>
          <a:ext cx="304800" cy="327025"/>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twoCellAnchor editAs="oneCell">
    <xdr:from>
      <xdr:col>1</xdr:col>
      <xdr:colOff>0</xdr:colOff>
      <xdr:row>7</xdr:row>
      <xdr:rowOff>0</xdr:rowOff>
    </xdr:from>
    <xdr:to>
      <xdr:col>1</xdr:col>
      <xdr:colOff>304800</xdr:colOff>
      <xdr:row>8</xdr:row>
      <xdr:rowOff>123825</xdr:rowOff>
    </xdr:to>
    <xdr:sp macro="" textlink="">
      <xdr:nvSpPr>
        <xdr:cNvPr id="4" name="AutoShape 3" descr="on">
          <a:extLst>
            <a:ext uri="{FF2B5EF4-FFF2-40B4-BE49-F238E27FC236}">
              <a16:creationId xmlns:a16="http://schemas.microsoft.com/office/drawing/2014/main" id="{14C8B499-437C-6446-8CAE-156F13258ED4}"/>
            </a:ext>
          </a:extLst>
        </xdr:cNvPr>
        <xdr:cNvSpPr>
          <a:spLocks noChangeAspect="1" noChangeArrowheads="1"/>
        </xdr:cNvSpPr>
      </xdr:nvSpPr>
      <xdr:spPr bwMode="auto">
        <a:xfrm>
          <a:off x="5740400" y="1447800"/>
          <a:ext cx="304800" cy="327025"/>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twoCellAnchor editAs="oneCell">
    <xdr:from>
      <xdr:col>2</xdr:col>
      <xdr:colOff>0</xdr:colOff>
      <xdr:row>7</xdr:row>
      <xdr:rowOff>0</xdr:rowOff>
    </xdr:from>
    <xdr:to>
      <xdr:col>2</xdr:col>
      <xdr:colOff>304800</xdr:colOff>
      <xdr:row>8</xdr:row>
      <xdr:rowOff>123825</xdr:rowOff>
    </xdr:to>
    <xdr:sp macro="" textlink="">
      <xdr:nvSpPr>
        <xdr:cNvPr id="5" name="AutoShape 4" descr="on">
          <a:extLst>
            <a:ext uri="{FF2B5EF4-FFF2-40B4-BE49-F238E27FC236}">
              <a16:creationId xmlns:a16="http://schemas.microsoft.com/office/drawing/2014/main" id="{ADD89250-778E-3740-BA26-98223C80F241}"/>
            </a:ext>
          </a:extLst>
        </xdr:cNvPr>
        <xdr:cNvSpPr>
          <a:spLocks noChangeAspect="1" noChangeArrowheads="1"/>
        </xdr:cNvSpPr>
      </xdr:nvSpPr>
      <xdr:spPr bwMode="auto">
        <a:xfrm>
          <a:off x="8864600" y="1447800"/>
          <a:ext cx="304800" cy="327025"/>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twoCellAnchor editAs="oneCell">
    <xdr:from>
      <xdr:col>1</xdr:col>
      <xdr:colOff>0</xdr:colOff>
      <xdr:row>12</xdr:row>
      <xdr:rowOff>0</xdr:rowOff>
    </xdr:from>
    <xdr:to>
      <xdr:col>1</xdr:col>
      <xdr:colOff>304800</xdr:colOff>
      <xdr:row>13</xdr:row>
      <xdr:rowOff>119591</xdr:rowOff>
    </xdr:to>
    <xdr:sp macro="" textlink="">
      <xdr:nvSpPr>
        <xdr:cNvPr id="6" name="AutoShape 5" descr="on">
          <a:extLst>
            <a:ext uri="{FF2B5EF4-FFF2-40B4-BE49-F238E27FC236}">
              <a16:creationId xmlns:a16="http://schemas.microsoft.com/office/drawing/2014/main" id="{FB135B3C-BA32-6E43-8E7B-0CEF2173BC6B}"/>
            </a:ext>
          </a:extLst>
        </xdr:cNvPr>
        <xdr:cNvSpPr>
          <a:spLocks noChangeAspect="1" noChangeArrowheads="1"/>
        </xdr:cNvSpPr>
      </xdr:nvSpPr>
      <xdr:spPr bwMode="auto">
        <a:xfrm>
          <a:off x="5740400" y="2489200"/>
          <a:ext cx="304800" cy="322791"/>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twoCellAnchor editAs="oneCell">
    <xdr:from>
      <xdr:col>2</xdr:col>
      <xdr:colOff>0</xdr:colOff>
      <xdr:row>12</xdr:row>
      <xdr:rowOff>0</xdr:rowOff>
    </xdr:from>
    <xdr:to>
      <xdr:col>2</xdr:col>
      <xdr:colOff>304800</xdr:colOff>
      <xdr:row>13</xdr:row>
      <xdr:rowOff>119591</xdr:rowOff>
    </xdr:to>
    <xdr:sp macro="" textlink="">
      <xdr:nvSpPr>
        <xdr:cNvPr id="7" name="AutoShape 6" descr="on">
          <a:extLst>
            <a:ext uri="{FF2B5EF4-FFF2-40B4-BE49-F238E27FC236}">
              <a16:creationId xmlns:a16="http://schemas.microsoft.com/office/drawing/2014/main" id="{766157C7-5B38-B543-9D20-2FF4D80E48B7}"/>
            </a:ext>
          </a:extLst>
        </xdr:cNvPr>
        <xdr:cNvSpPr>
          <a:spLocks noChangeAspect="1" noChangeArrowheads="1"/>
        </xdr:cNvSpPr>
      </xdr:nvSpPr>
      <xdr:spPr bwMode="auto">
        <a:xfrm>
          <a:off x="8864600" y="2489200"/>
          <a:ext cx="304800" cy="322791"/>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twoCellAnchor editAs="oneCell">
    <xdr:from>
      <xdr:col>0</xdr:col>
      <xdr:colOff>0</xdr:colOff>
      <xdr:row>14</xdr:row>
      <xdr:rowOff>0</xdr:rowOff>
    </xdr:from>
    <xdr:to>
      <xdr:col>0</xdr:col>
      <xdr:colOff>304800</xdr:colOff>
      <xdr:row>15</xdr:row>
      <xdr:rowOff>123825</xdr:rowOff>
    </xdr:to>
    <xdr:sp macro="" textlink="">
      <xdr:nvSpPr>
        <xdr:cNvPr id="8" name="AutoShape 7" descr="on">
          <a:extLst>
            <a:ext uri="{FF2B5EF4-FFF2-40B4-BE49-F238E27FC236}">
              <a16:creationId xmlns:a16="http://schemas.microsoft.com/office/drawing/2014/main" id="{69039BC5-B630-BB49-B1B9-9C96AE6EA13D}"/>
            </a:ext>
          </a:extLst>
        </xdr:cNvPr>
        <xdr:cNvSpPr>
          <a:spLocks noChangeAspect="1" noChangeArrowheads="1"/>
        </xdr:cNvSpPr>
      </xdr:nvSpPr>
      <xdr:spPr bwMode="auto">
        <a:xfrm>
          <a:off x="0" y="2908300"/>
          <a:ext cx="304800" cy="327025"/>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twoCellAnchor editAs="oneCell">
    <xdr:from>
      <xdr:col>0</xdr:col>
      <xdr:colOff>0</xdr:colOff>
      <xdr:row>16</xdr:row>
      <xdr:rowOff>0</xdr:rowOff>
    </xdr:from>
    <xdr:to>
      <xdr:col>0</xdr:col>
      <xdr:colOff>304800</xdr:colOff>
      <xdr:row>17</xdr:row>
      <xdr:rowOff>121627</xdr:rowOff>
    </xdr:to>
    <xdr:sp macro="" textlink="">
      <xdr:nvSpPr>
        <xdr:cNvPr id="9" name="AutoShape 8" descr="on">
          <a:extLst>
            <a:ext uri="{FF2B5EF4-FFF2-40B4-BE49-F238E27FC236}">
              <a16:creationId xmlns:a16="http://schemas.microsoft.com/office/drawing/2014/main" id="{6453D52F-92E9-7944-87F0-227DA24605F7}"/>
            </a:ext>
          </a:extLst>
        </xdr:cNvPr>
        <xdr:cNvSpPr>
          <a:spLocks noChangeAspect="1" noChangeArrowheads="1"/>
        </xdr:cNvSpPr>
      </xdr:nvSpPr>
      <xdr:spPr bwMode="auto">
        <a:xfrm>
          <a:off x="0" y="3314700"/>
          <a:ext cx="304800" cy="324827"/>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twoCellAnchor editAs="oneCell">
    <xdr:from>
      <xdr:col>0</xdr:col>
      <xdr:colOff>0</xdr:colOff>
      <xdr:row>18</xdr:row>
      <xdr:rowOff>0</xdr:rowOff>
    </xdr:from>
    <xdr:to>
      <xdr:col>0</xdr:col>
      <xdr:colOff>304800</xdr:colOff>
      <xdr:row>19</xdr:row>
      <xdr:rowOff>126755</xdr:rowOff>
    </xdr:to>
    <xdr:sp macro="" textlink="">
      <xdr:nvSpPr>
        <xdr:cNvPr id="10" name="AutoShape 9" descr="on">
          <a:extLst>
            <a:ext uri="{FF2B5EF4-FFF2-40B4-BE49-F238E27FC236}">
              <a16:creationId xmlns:a16="http://schemas.microsoft.com/office/drawing/2014/main" id="{1D85E71A-EBAD-7C4B-BA9B-D6B3333A7A09}"/>
            </a:ext>
          </a:extLst>
        </xdr:cNvPr>
        <xdr:cNvSpPr>
          <a:spLocks noChangeAspect="1" noChangeArrowheads="1"/>
        </xdr:cNvSpPr>
      </xdr:nvSpPr>
      <xdr:spPr bwMode="auto">
        <a:xfrm>
          <a:off x="0" y="3721100"/>
          <a:ext cx="304800" cy="329955"/>
        </a:xfrm>
        <a:prstGeom prst="rect">
          <a:avLst/>
        </a:prstGeom>
        <a:noFill/>
        <a:extLst>
          <a:ext uri="{909E8E84-426E-40dd-AFC4-6F175D3DCCD1}">
            <a14:hiddenFill xmlns:a14="http://schemas.microsoft.com/office/drawing/2010/main" xmlns="">
              <a:solidFill>
                <a:srgbClr val="FFFFFF"/>
              </a:solidFill>
            </a14:hiddenFill>
          </a:ext>
        </a:extLst>
      </xdr:spPr>
      <xdr:txBody>
        <a:bodyPr rtlCol="0"/>
        <a:lstStyle/>
        <a:p>
          <a:pPr algn="ctr"/>
          <a:endParaRPr lang="es-ES"/>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3071-1719-FD47-B676-B8D98566EF78}">
  <sheetPr>
    <tabColor theme="5" tint="0.39997558519241921"/>
  </sheetPr>
  <dimension ref="A1:E99"/>
  <sheetViews>
    <sheetView topLeftCell="A32" zoomScale="130" zoomScaleNormal="130" zoomScalePageLayoutView="200" workbookViewId="0">
      <selection activeCell="L18" sqref="L18"/>
    </sheetView>
  </sheetViews>
  <sheetFormatPr baseColWidth="10" defaultColWidth="11" defaultRowHeight="16" x14ac:dyDescent="0.2"/>
  <cols>
    <col min="1" max="1" width="36.33203125" customWidth="1"/>
    <col min="2" max="2" width="15.33203125" bestFit="1" customWidth="1"/>
    <col min="3" max="3" width="17.1640625" bestFit="1" customWidth="1"/>
    <col min="4" max="5" width="14.33203125" bestFit="1" customWidth="1"/>
  </cols>
  <sheetData>
    <row r="1" spans="1:5" x14ac:dyDescent="0.2">
      <c r="A1" s="9" t="s">
        <v>177</v>
      </c>
      <c r="E1" t="s">
        <v>40</v>
      </c>
    </row>
    <row r="3" spans="1:5" x14ac:dyDescent="0.2">
      <c r="B3" s="1"/>
      <c r="C3" s="1" t="s">
        <v>178</v>
      </c>
      <c r="D3" s="1"/>
    </row>
    <row r="4" spans="1:5" x14ac:dyDescent="0.2">
      <c r="B4" s="159" t="s">
        <v>0</v>
      </c>
      <c r="C4" s="160"/>
      <c r="D4" s="160"/>
    </row>
    <row r="5" spans="1:5" x14ac:dyDescent="0.2">
      <c r="B5" s="1"/>
      <c r="C5" s="1" t="s">
        <v>32</v>
      </c>
      <c r="D5" s="1"/>
    </row>
    <row r="6" spans="1:5" x14ac:dyDescent="0.2">
      <c r="B6" s="1"/>
      <c r="C6" s="1"/>
      <c r="D6" s="1"/>
    </row>
    <row r="8" spans="1:5" x14ac:dyDescent="0.2">
      <c r="A8" s="1" t="s">
        <v>1</v>
      </c>
      <c r="C8" s="3">
        <f>B9-B10</f>
        <v>41821000</v>
      </c>
    </row>
    <row r="9" spans="1:5" x14ac:dyDescent="0.2">
      <c r="A9" t="s">
        <v>2</v>
      </c>
      <c r="B9" s="2">
        <v>50136000</v>
      </c>
      <c r="C9" s="2"/>
    </row>
    <row r="10" spans="1:5" x14ac:dyDescent="0.2">
      <c r="A10" t="s">
        <v>3</v>
      </c>
      <c r="B10" s="2">
        <v>8315000</v>
      </c>
      <c r="C10" s="2"/>
    </row>
    <row r="11" spans="1:5" x14ac:dyDescent="0.2">
      <c r="A11" s="1" t="s">
        <v>4</v>
      </c>
      <c r="B11" s="2"/>
      <c r="C11" s="3">
        <f>SUM(B12:B14)</f>
        <v>198516000</v>
      </c>
    </row>
    <row r="12" spans="1:5" x14ac:dyDescent="0.2">
      <c r="A12" s="4" t="s">
        <v>179</v>
      </c>
      <c r="B12" s="2">
        <v>45500000</v>
      </c>
      <c r="C12" s="2"/>
      <c r="E12" s="2"/>
    </row>
    <row r="13" spans="1:5" x14ac:dyDescent="0.2">
      <c r="A13" t="s">
        <v>5</v>
      </c>
      <c r="B13" s="2">
        <v>135634000</v>
      </c>
      <c r="C13" s="2"/>
    </row>
    <row r="14" spans="1:5" x14ac:dyDescent="0.2">
      <c r="A14" t="s">
        <v>6</v>
      </c>
      <c r="B14" s="2">
        <v>17382000</v>
      </c>
      <c r="C14" s="2"/>
    </row>
    <row r="15" spans="1:5" x14ac:dyDescent="0.2">
      <c r="A15" s="5" t="s">
        <v>7</v>
      </c>
      <c r="B15" s="6"/>
      <c r="C15" s="6">
        <f>SUM(C8+C11)</f>
        <v>240337000</v>
      </c>
      <c r="D15" s="2"/>
    </row>
    <row r="16" spans="1:5" x14ac:dyDescent="0.2">
      <c r="B16" s="2"/>
      <c r="C16" s="2"/>
    </row>
    <row r="17" spans="1:5" x14ac:dyDescent="0.2">
      <c r="B17" s="2"/>
      <c r="C17" s="2"/>
    </row>
    <row r="18" spans="1:5" x14ac:dyDescent="0.2">
      <c r="A18" s="1" t="s">
        <v>8</v>
      </c>
      <c r="B18" s="2"/>
      <c r="C18" s="3">
        <f>B19+B20</f>
        <v>93170000</v>
      </c>
    </row>
    <row r="19" spans="1:5" x14ac:dyDescent="0.2">
      <c r="A19" s="4" t="s">
        <v>9</v>
      </c>
      <c r="B19" s="2">
        <v>45251000</v>
      </c>
      <c r="C19" s="2"/>
    </row>
    <row r="20" spans="1:5" x14ac:dyDescent="0.2">
      <c r="A20" t="s">
        <v>10</v>
      </c>
      <c r="B20" s="2">
        <v>47919000</v>
      </c>
      <c r="C20" s="2"/>
      <c r="E20" s="2"/>
    </row>
    <row r="21" spans="1:5" x14ac:dyDescent="0.2">
      <c r="A21" s="1" t="s">
        <v>11</v>
      </c>
      <c r="B21" s="2"/>
      <c r="C21" s="3">
        <f>B22+B23</f>
        <v>147167000</v>
      </c>
    </row>
    <row r="22" spans="1:5" x14ac:dyDescent="0.2">
      <c r="A22" s="4" t="s">
        <v>12</v>
      </c>
      <c r="B22" s="2">
        <v>55899000</v>
      </c>
      <c r="C22" s="2"/>
    </row>
    <row r="23" spans="1:5" x14ac:dyDescent="0.2">
      <c r="A23" t="s">
        <v>13</v>
      </c>
      <c r="B23" s="2">
        <v>91268000</v>
      </c>
      <c r="C23" s="2"/>
      <c r="E23" s="2"/>
    </row>
    <row r="24" spans="1:5" x14ac:dyDescent="0.2">
      <c r="A24" s="5" t="s">
        <v>14</v>
      </c>
      <c r="C24" s="6">
        <f>C18+C21</f>
        <v>240337000</v>
      </c>
      <c r="D24" s="2"/>
    </row>
    <row r="25" spans="1:5" x14ac:dyDescent="0.2">
      <c r="C25" s="2"/>
    </row>
    <row r="26" spans="1:5" x14ac:dyDescent="0.2">
      <c r="A26" s="8" t="s">
        <v>180</v>
      </c>
      <c r="C26" s="2"/>
    </row>
    <row r="27" spans="1:5" x14ac:dyDescent="0.2">
      <c r="B27" s="7" t="s">
        <v>19</v>
      </c>
      <c r="C27" s="7" t="s">
        <v>20</v>
      </c>
    </row>
    <row r="28" spans="1:5" x14ac:dyDescent="0.2">
      <c r="A28" s="4" t="s">
        <v>181</v>
      </c>
      <c r="B28" s="2">
        <f>3200*68000</f>
        <v>217600000</v>
      </c>
      <c r="C28" s="2">
        <f>12500*68000</f>
        <v>850000000</v>
      </c>
    </row>
    <row r="29" spans="1:5" x14ac:dyDescent="0.2">
      <c r="A29" t="s">
        <v>15</v>
      </c>
      <c r="B29" s="2">
        <v>33348000</v>
      </c>
      <c r="C29" s="2">
        <v>190960000</v>
      </c>
    </row>
    <row r="30" spans="1:5" x14ac:dyDescent="0.2">
      <c r="A30" t="s">
        <v>16</v>
      </c>
      <c r="B30" s="2">
        <v>26312000</v>
      </c>
      <c r="C30" s="2">
        <v>85390000</v>
      </c>
    </row>
    <row r="31" spans="1:5" x14ac:dyDescent="0.2">
      <c r="A31" t="s">
        <v>17</v>
      </c>
      <c r="B31" s="2">
        <v>18229000</v>
      </c>
      <c r="C31" s="2">
        <v>123084000</v>
      </c>
    </row>
    <row r="32" spans="1:5" x14ac:dyDescent="0.2">
      <c r="A32" t="s">
        <v>18</v>
      </c>
      <c r="B32" s="2">
        <v>21413000</v>
      </c>
      <c r="C32" s="2">
        <v>69105000</v>
      </c>
    </row>
    <row r="33" spans="1:3" x14ac:dyDescent="0.2">
      <c r="B33" s="2"/>
      <c r="C33" s="2"/>
    </row>
    <row r="34" spans="1:3" x14ac:dyDescent="0.2">
      <c r="A34" s="8" t="s">
        <v>21</v>
      </c>
      <c r="B34" s="2"/>
      <c r="C34" s="2"/>
    </row>
    <row r="36" spans="1:3" x14ac:dyDescent="0.2">
      <c r="A36" t="s">
        <v>182</v>
      </c>
    </row>
    <row r="37" spans="1:3" x14ac:dyDescent="0.2">
      <c r="A37" t="s">
        <v>183</v>
      </c>
    </row>
    <row r="38" spans="1:3" x14ac:dyDescent="0.2">
      <c r="A38" t="s">
        <v>184</v>
      </c>
    </row>
    <row r="39" spans="1:3" x14ac:dyDescent="0.2">
      <c r="A39" t="s">
        <v>185</v>
      </c>
    </row>
    <row r="40" spans="1:3" x14ac:dyDescent="0.2">
      <c r="A40" t="s">
        <v>186</v>
      </c>
    </row>
    <row r="42" spans="1:3" x14ac:dyDescent="0.2">
      <c r="A42" t="s">
        <v>187</v>
      </c>
    </row>
    <row r="43" spans="1:3" x14ac:dyDescent="0.2">
      <c r="A43" t="s">
        <v>33</v>
      </c>
    </row>
    <row r="44" spans="1:3" x14ac:dyDescent="0.2">
      <c r="A44" t="s">
        <v>22</v>
      </c>
    </row>
    <row r="45" spans="1:3" x14ac:dyDescent="0.2">
      <c r="A45" t="s">
        <v>188</v>
      </c>
    </row>
    <row r="46" spans="1:3" x14ac:dyDescent="0.2">
      <c r="A46" t="s">
        <v>34</v>
      </c>
    </row>
    <row r="47" spans="1:3" x14ac:dyDescent="0.2">
      <c r="A47" t="s">
        <v>189</v>
      </c>
    </row>
    <row r="48" spans="1:3" x14ac:dyDescent="0.2">
      <c r="A48" t="s">
        <v>190</v>
      </c>
    </row>
    <row r="51" spans="1:4" x14ac:dyDescent="0.2">
      <c r="A51" s="8" t="s">
        <v>23</v>
      </c>
    </row>
    <row r="52" spans="1:4" x14ac:dyDescent="0.2">
      <c r="A52" s="9" t="s">
        <v>191</v>
      </c>
      <c r="B52" s="9"/>
      <c r="C52" s="9"/>
    </row>
    <row r="53" spans="1:4" x14ac:dyDescent="0.2">
      <c r="A53" s="9" t="s">
        <v>192</v>
      </c>
      <c r="B53" s="9"/>
      <c r="C53" s="9"/>
    </row>
    <row r="54" spans="1:4" x14ac:dyDescent="0.2">
      <c r="A54" s="9" t="s">
        <v>193</v>
      </c>
      <c r="B54" s="9"/>
      <c r="C54" s="9"/>
    </row>
    <row r="55" spans="1:4" x14ac:dyDescent="0.2">
      <c r="A55" s="9" t="s">
        <v>194</v>
      </c>
      <c r="B55" s="9"/>
      <c r="C55" s="9"/>
    </row>
    <row r="57" spans="1:4" ht="17" customHeight="1" thickBot="1" x14ac:dyDescent="0.25"/>
    <row r="58" spans="1:4" x14ac:dyDescent="0.2">
      <c r="B58" s="14"/>
      <c r="C58" s="15" t="s">
        <v>24</v>
      </c>
      <c r="D58" s="16"/>
    </row>
    <row r="59" spans="1:4" ht="17" customHeight="1" thickBot="1" x14ac:dyDescent="0.25">
      <c r="B59" s="17"/>
      <c r="C59" s="13" t="s">
        <v>195</v>
      </c>
      <c r="D59" s="18"/>
    </row>
    <row r="60" spans="1:4" ht="17" customHeight="1" thickBot="1" x14ac:dyDescent="0.25">
      <c r="B60" s="19" t="s">
        <v>25</v>
      </c>
      <c r="C60" s="19" t="s">
        <v>26</v>
      </c>
      <c r="D60" s="19" t="s">
        <v>27</v>
      </c>
    </row>
    <row r="74" spans="2:4" x14ac:dyDescent="0.2">
      <c r="B74" s="10"/>
      <c r="C74" s="11" t="s">
        <v>28</v>
      </c>
      <c r="D74" s="10"/>
    </row>
    <row r="75" spans="2:4" ht="17" customHeight="1" thickBot="1" x14ac:dyDescent="0.25">
      <c r="B75" s="12"/>
      <c r="C75" s="13" t="s">
        <v>195</v>
      </c>
      <c r="D75" s="12"/>
    </row>
    <row r="76" spans="2:4" ht="17" customHeight="1" thickBot="1" x14ac:dyDescent="0.25">
      <c r="B76" s="19" t="s">
        <v>29</v>
      </c>
    </row>
    <row r="89" spans="2:4" x14ac:dyDescent="0.2">
      <c r="B89" s="10"/>
      <c r="C89" s="11" t="s">
        <v>30</v>
      </c>
      <c r="D89" s="10"/>
    </row>
    <row r="90" spans="2:4" ht="17" customHeight="1" thickBot="1" x14ac:dyDescent="0.25">
      <c r="B90" s="12"/>
      <c r="C90" s="13" t="s">
        <v>195</v>
      </c>
      <c r="D90" s="12"/>
    </row>
    <row r="98" spans="2:4" x14ac:dyDescent="0.2">
      <c r="B98" s="10"/>
      <c r="C98" s="11" t="s">
        <v>31</v>
      </c>
      <c r="D98" s="10"/>
    </row>
    <row r="99" spans="2:4" ht="17" customHeight="1" thickBot="1" x14ac:dyDescent="0.25">
      <c r="B99" s="12"/>
      <c r="C99" s="13" t="s">
        <v>196</v>
      </c>
      <c r="D99" s="12"/>
    </row>
  </sheetData>
  <mergeCells count="1">
    <mergeCell ref="B4:D4"/>
  </mergeCells>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F4B6-FCFC-1D45-A097-D53F2712C785}">
  <sheetPr>
    <tabColor theme="4" tint="-0.249977111117893"/>
  </sheetPr>
  <dimension ref="B1:H10"/>
  <sheetViews>
    <sheetView zoomScale="120" zoomScaleNormal="120" workbookViewId="0">
      <selection activeCell="L18" sqref="L18"/>
    </sheetView>
  </sheetViews>
  <sheetFormatPr baseColWidth="10" defaultRowHeight="16" x14ac:dyDescent="0.2"/>
  <cols>
    <col min="2" max="2" width="31.33203125" customWidth="1"/>
    <col min="3" max="3" width="17.83203125" customWidth="1"/>
    <col min="4" max="4" width="20" customWidth="1"/>
  </cols>
  <sheetData>
    <row r="1" spans="2:8" x14ac:dyDescent="0.2">
      <c r="H1" t="s">
        <v>41</v>
      </c>
    </row>
    <row r="4" spans="2:8" ht="17" thickBot="1" x14ac:dyDescent="0.25"/>
    <row r="5" spans="2:8" ht="17" thickBot="1" x14ac:dyDescent="0.25">
      <c r="B5" s="27" t="s">
        <v>35</v>
      </c>
      <c r="C5" s="27" t="s">
        <v>42</v>
      </c>
      <c r="D5" s="27" t="s">
        <v>43</v>
      </c>
    </row>
    <row r="6" spans="2:8" x14ac:dyDescent="0.2">
      <c r="B6" s="20" t="s">
        <v>36</v>
      </c>
      <c r="C6" s="23">
        <v>610000</v>
      </c>
      <c r="D6" s="23">
        <v>560000</v>
      </c>
    </row>
    <row r="7" spans="2:8" x14ac:dyDescent="0.2">
      <c r="B7" s="21" t="s">
        <v>37</v>
      </c>
      <c r="C7" s="24">
        <v>245000</v>
      </c>
      <c r="D7" s="24">
        <v>260000</v>
      </c>
    </row>
    <row r="8" spans="2:8" x14ac:dyDescent="0.2">
      <c r="B8" s="21" t="s">
        <v>38</v>
      </c>
      <c r="C8" s="24">
        <v>95000</v>
      </c>
      <c r="D8" s="24">
        <v>105000</v>
      </c>
    </row>
    <row r="9" spans="2:8" x14ac:dyDescent="0.2">
      <c r="B9" s="21" t="s">
        <v>39</v>
      </c>
      <c r="C9" s="24">
        <v>72000</v>
      </c>
      <c r="D9" s="24">
        <v>78000</v>
      </c>
    </row>
    <row r="10" spans="2:8" ht="17" thickBot="1" x14ac:dyDescent="0.25">
      <c r="B10" s="22" t="s">
        <v>18</v>
      </c>
      <c r="C10" s="25">
        <v>110000</v>
      </c>
      <c r="D10" s="25">
        <v>118000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D9E0-44AA-C148-8B9D-A270EEE2DF1F}">
  <sheetPr>
    <tabColor theme="3" tint="0.39997558519241921"/>
  </sheetPr>
  <dimension ref="A1:F68"/>
  <sheetViews>
    <sheetView topLeftCell="A13" zoomScale="120" zoomScaleNormal="120" zoomScalePageLayoutView="150" workbookViewId="0">
      <selection activeCell="L18" sqref="L18"/>
    </sheetView>
  </sheetViews>
  <sheetFormatPr baseColWidth="10" defaultColWidth="11" defaultRowHeight="16" x14ac:dyDescent="0.2"/>
  <cols>
    <col min="1" max="1" width="33.1640625" bestFit="1" customWidth="1"/>
    <col min="2" max="2" width="22.5" style="118" customWidth="1"/>
    <col min="3" max="3" width="25.5" style="119" customWidth="1"/>
    <col min="5" max="5" width="21.1640625" customWidth="1"/>
    <col min="6" max="6" width="13.33203125" bestFit="1" customWidth="1"/>
    <col min="7" max="7" width="12.33203125" bestFit="1" customWidth="1"/>
  </cols>
  <sheetData>
    <row r="1" spans="1:4" ht="17" thickBot="1" x14ac:dyDescent="0.25">
      <c r="A1" s="117" t="s">
        <v>129</v>
      </c>
    </row>
    <row r="2" spans="1:4" x14ac:dyDescent="0.2">
      <c r="A2" s="120"/>
    </row>
    <row r="5" spans="1:4" ht="17" thickBot="1" x14ac:dyDescent="0.25"/>
    <row r="6" spans="1:4" x14ac:dyDescent="0.2">
      <c r="A6" s="115" t="s">
        <v>130</v>
      </c>
      <c r="B6" s="121">
        <v>1500000</v>
      </c>
      <c r="D6" s="119"/>
    </row>
    <row r="7" spans="1:4" x14ac:dyDescent="0.2">
      <c r="A7" s="65" t="s">
        <v>131</v>
      </c>
      <c r="B7" s="122">
        <v>250000</v>
      </c>
    </row>
    <row r="8" spans="1:4" x14ac:dyDescent="0.2">
      <c r="A8" s="65" t="s">
        <v>132</v>
      </c>
      <c r="B8" s="122">
        <v>511000</v>
      </c>
    </row>
    <row r="9" spans="1:4" x14ac:dyDescent="0.2">
      <c r="A9" s="65" t="s">
        <v>16</v>
      </c>
      <c r="B9" s="122">
        <v>290000</v>
      </c>
    </row>
    <row r="10" spans="1:4" x14ac:dyDescent="0.2">
      <c r="A10" s="65" t="s">
        <v>133</v>
      </c>
      <c r="B10" s="122">
        <v>270000</v>
      </c>
    </row>
    <row r="11" spans="1:4" ht="17" thickBot="1" x14ac:dyDescent="0.25">
      <c r="A11" s="123" t="s">
        <v>134</v>
      </c>
      <c r="B11" s="124">
        <v>350000</v>
      </c>
    </row>
    <row r="13" spans="1:4" x14ac:dyDescent="0.2">
      <c r="A13" t="s">
        <v>135</v>
      </c>
    </row>
    <row r="14" spans="1:4" x14ac:dyDescent="0.2">
      <c r="A14" t="s">
        <v>136</v>
      </c>
    </row>
    <row r="15" spans="1:4" x14ac:dyDescent="0.2">
      <c r="A15" s="8" t="s">
        <v>137</v>
      </c>
    </row>
    <row r="16" spans="1:4" x14ac:dyDescent="0.2">
      <c r="A16" s="8" t="s">
        <v>138</v>
      </c>
    </row>
    <row r="17" spans="1:4" x14ac:dyDescent="0.2">
      <c r="A17" s="125" t="s">
        <v>139</v>
      </c>
    </row>
    <row r="18" spans="1:4" x14ac:dyDescent="0.2">
      <c r="A18" s="8" t="s">
        <v>140</v>
      </c>
    </row>
    <row r="19" spans="1:4" x14ac:dyDescent="0.2">
      <c r="A19" s="8" t="s">
        <v>141</v>
      </c>
    </row>
    <row r="20" spans="1:4" x14ac:dyDescent="0.2">
      <c r="A20" s="8" t="s">
        <v>142</v>
      </c>
    </row>
    <row r="21" spans="1:4" x14ac:dyDescent="0.2">
      <c r="A21" s="4" t="s">
        <v>143</v>
      </c>
    </row>
    <row r="22" spans="1:4" x14ac:dyDescent="0.2">
      <c r="A22" s="8" t="s">
        <v>144</v>
      </c>
    </row>
    <row r="23" spans="1:4" x14ac:dyDescent="0.2">
      <c r="A23" s="126" t="s">
        <v>145</v>
      </c>
      <c r="B23" s="118" t="s">
        <v>146</v>
      </c>
    </row>
    <row r="24" spans="1:4" x14ac:dyDescent="0.2">
      <c r="A24" s="126" t="s">
        <v>147</v>
      </c>
      <c r="B24" s="118" t="s">
        <v>148</v>
      </c>
    </row>
    <row r="25" spans="1:4" x14ac:dyDescent="0.2">
      <c r="A25" s="126" t="s">
        <v>149</v>
      </c>
      <c r="B25" s="118" t="s">
        <v>150</v>
      </c>
    </row>
    <row r="26" spans="1:4" x14ac:dyDescent="0.2">
      <c r="A26" s="164" t="s">
        <v>197</v>
      </c>
    </row>
    <row r="27" spans="1:4" x14ac:dyDescent="0.2">
      <c r="A27" s="164"/>
    </row>
    <row r="28" spans="1:4" x14ac:dyDescent="0.2">
      <c r="A28" s="164"/>
      <c r="B28"/>
      <c r="C28"/>
    </row>
    <row r="29" spans="1:4" x14ac:dyDescent="0.2">
      <c r="B29"/>
      <c r="C29"/>
      <c r="D29" s="119"/>
    </row>
    <row r="30" spans="1:4" x14ac:dyDescent="0.2">
      <c r="B30"/>
      <c r="C30"/>
      <c r="D30" s="119"/>
    </row>
    <row r="31" spans="1:4" x14ac:dyDescent="0.2">
      <c r="B31"/>
      <c r="C31"/>
    </row>
    <row r="32" spans="1:4" x14ac:dyDescent="0.2">
      <c r="B32"/>
      <c r="C32"/>
    </row>
    <row r="33" spans="2:3" x14ac:dyDescent="0.2">
      <c r="B33"/>
      <c r="C33"/>
    </row>
    <row r="34" spans="2:3" x14ac:dyDescent="0.2">
      <c r="B34"/>
      <c r="C34"/>
    </row>
    <row r="35" spans="2:3" x14ac:dyDescent="0.2">
      <c r="B35"/>
      <c r="C35"/>
    </row>
    <row r="36" spans="2:3" x14ac:dyDescent="0.2">
      <c r="B36"/>
      <c r="C36"/>
    </row>
    <row r="37" spans="2:3" x14ac:dyDescent="0.2">
      <c r="B37"/>
      <c r="C37"/>
    </row>
    <row r="38" spans="2:3" x14ac:dyDescent="0.2">
      <c r="B38"/>
      <c r="C38"/>
    </row>
    <row r="39" spans="2:3" x14ac:dyDescent="0.2">
      <c r="B39"/>
      <c r="C39"/>
    </row>
    <row r="40" spans="2:3" x14ac:dyDescent="0.2">
      <c r="B40"/>
      <c r="C40"/>
    </row>
    <row r="41" spans="2:3" x14ac:dyDescent="0.2">
      <c r="B41"/>
      <c r="C41"/>
    </row>
    <row r="42" spans="2:3" x14ac:dyDescent="0.2">
      <c r="B42"/>
      <c r="C42"/>
    </row>
    <row r="43" spans="2:3" x14ac:dyDescent="0.2">
      <c r="B43"/>
      <c r="C43"/>
    </row>
    <row r="44" spans="2:3" x14ac:dyDescent="0.2">
      <c r="B44"/>
      <c r="C44"/>
    </row>
    <row r="45" spans="2:3" x14ac:dyDescent="0.2">
      <c r="B45"/>
      <c r="C45"/>
    </row>
    <row r="46" spans="2:3" x14ac:dyDescent="0.2">
      <c r="B46"/>
      <c r="C46"/>
    </row>
    <row r="47" spans="2:3" x14ac:dyDescent="0.2">
      <c r="B47"/>
      <c r="C47"/>
    </row>
    <row r="48" spans="2:3" x14ac:dyDescent="0.2">
      <c r="B48"/>
      <c r="C48"/>
    </row>
    <row r="49" spans="1:6" x14ac:dyDescent="0.2">
      <c r="B49"/>
      <c r="C49"/>
    </row>
    <row r="50" spans="1:6" x14ac:dyDescent="0.2">
      <c r="B50"/>
      <c r="C50"/>
    </row>
    <row r="51" spans="1:6" x14ac:dyDescent="0.2">
      <c r="B51"/>
      <c r="C51"/>
    </row>
    <row r="53" spans="1:6" ht="17" thickBot="1" x14ac:dyDescent="0.25"/>
    <row r="54" spans="1:6" ht="17" thickBot="1" x14ac:dyDescent="0.25">
      <c r="A54" s="128" t="s">
        <v>146</v>
      </c>
      <c r="B54" s="121">
        <f>C43-(C45+C46+C47+C48+C50)</f>
        <v>0</v>
      </c>
      <c r="E54" s="8"/>
    </row>
    <row r="55" spans="1:6" ht="17" thickBot="1" x14ac:dyDescent="0.25">
      <c r="A55" s="129" t="s">
        <v>148</v>
      </c>
      <c r="B55" s="165" t="e">
        <f>B54/C43</f>
        <v>#DIV/0!</v>
      </c>
    </row>
    <row r="56" spans="1:6" ht="17" thickBot="1" x14ac:dyDescent="0.25">
      <c r="A56" s="129" t="s">
        <v>150</v>
      </c>
      <c r="B56" s="130" t="e">
        <f>(C44+C49+C51)/B55</f>
        <v>#DIV/0!</v>
      </c>
      <c r="E56" s="131"/>
    </row>
    <row r="57" spans="1:6" x14ac:dyDescent="0.2">
      <c r="F57" s="132"/>
    </row>
    <row r="58" spans="1:6" x14ac:dyDescent="0.2">
      <c r="A58" s="131"/>
      <c r="F58" s="132"/>
    </row>
    <row r="59" spans="1:6" x14ac:dyDescent="0.2">
      <c r="F59" s="132"/>
    </row>
    <row r="60" spans="1:6" x14ac:dyDescent="0.2">
      <c r="E60" s="131"/>
      <c r="F60" s="133"/>
    </row>
    <row r="61" spans="1:6" x14ac:dyDescent="0.2">
      <c r="F61" s="132"/>
    </row>
    <row r="62" spans="1:6" x14ac:dyDescent="0.2">
      <c r="B62" s="134"/>
      <c r="E62" s="131"/>
      <c r="F62" s="132"/>
    </row>
    <row r="63" spans="1:6" x14ac:dyDescent="0.2">
      <c r="F63" s="132"/>
    </row>
    <row r="64" spans="1:6" x14ac:dyDescent="0.2">
      <c r="A64" s="131"/>
      <c r="F64" s="132"/>
    </row>
    <row r="65" spans="2:6" x14ac:dyDescent="0.2">
      <c r="F65" s="132"/>
    </row>
    <row r="66" spans="2:6" x14ac:dyDescent="0.2">
      <c r="F66" s="132"/>
    </row>
    <row r="68" spans="2:6" x14ac:dyDescent="0.2">
      <c r="B68" s="134"/>
    </row>
  </sheetData>
  <mergeCells count="1">
    <mergeCell ref="A26:A28"/>
  </mergeCells>
  <pageMargins left="0.75" right="0.75" top="1" bottom="1" header="0.5" footer="0.5"/>
  <pageSetup paperSize="9" orientation="portrait" horizontalDpi="4294967292" verticalDpi="4294967292"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70265-2033-8845-8360-8E8BD5D5824E}">
  <sheetPr>
    <tabColor rgb="FF4D8D48"/>
  </sheetPr>
  <dimension ref="A2:J47"/>
  <sheetViews>
    <sheetView zoomScale="110" zoomScaleNormal="110" zoomScalePageLayoutView="150" workbookViewId="0">
      <selection activeCell="L18" sqref="L18"/>
    </sheetView>
  </sheetViews>
  <sheetFormatPr baseColWidth="10" defaultColWidth="11" defaultRowHeight="16" x14ac:dyDescent="0.2"/>
  <cols>
    <col min="1" max="1" width="23.83203125" customWidth="1"/>
    <col min="2" max="2" width="27.33203125" customWidth="1"/>
    <col min="3" max="5" width="21.6640625" customWidth="1"/>
    <col min="6" max="6" width="21.83203125" customWidth="1"/>
    <col min="7" max="9" width="19" customWidth="1"/>
    <col min="10" max="10" width="16" customWidth="1"/>
  </cols>
  <sheetData>
    <row r="2" spans="1:4" x14ac:dyDescent="0.2">
      <c r="A2" s="41" t="s">
        <v>151</v>
      </c>
    </row>
    <row r="3" spans="1:4" x14ac:dyDescent="0.2">
      <c r="A3" s="41" t="s">
        <v>152</v>
      </c>
    </row>
    <row r="4" spans="1:4" x14ac:dyDescent="0.2">
      <c r="A4" s="41" t="s">
        <v>153</v>
      </c>
    </row>
    <row r="5" spans="1:4" ht="17" thickBot="1" x14ac:dyDescent="0.25">
      <c r="A5" s="41" t="s">
        <v>154</v>
      </c>
    </row>
    <row r="6" spans="1:4" ht="17" thickBot="1" x14ac:dyDescent="0.25">
      <c r="C6" s="157" t="s">
        <v>155</v>
      </c>
      <c r="D6" s="158"/>
    </row>
    <row r="7" spans="1:4" ht="17" thickBot="1" x14ac:dyDescent="0.25">
      <c r="C7" s="135" t="s">
        <v>36</v>
      </c>
      <c r="D7" s="136" t="s">
        <v>156</v>
      </c>
    </row>
    <row r="8" spans="1:4" ht="17" thickBot="1" x14ac:dyDescent="0.25">
      <c r="B8" s="115" t="s">
        <v>157</v>
      </c>
      <c r="C8" s="137">
        <v>1031.8</v>
      </c>
      <c r="D8" s="138">
        <v>610</v>
      </c>
    </row>
    <row r="9" spans="1:4" ht="17" thickBot="1" x14ac:dyDescent="0.25">
      <c r="B9" s="139" t="s">
        <v>158</v>
      </c>
      <c r="C9" s="140">
        <v>837.3</v>
      </c>
      <c r="D9" s="141">
        <v>350</v>
      </c>
    </row>
    <row r="10" spans="1:4" ht="17" thickBot="1" x14ac:dyDescent="0.25">
      <c r="B10" s="123" t="s">
        <v>159</v>
      </c>
      <c r="C10" s="140">
        <v>302</v>
      </c>
      <c r="D10" s="141">
        <v>100</v>
      </c>
    </row>
    <row r="11" spans="1:4" x14ac:dyDescent="0.2">
      <c r="A11" s="41"/>
      <c r="C11" s="2">
        <f>SUM(C8:C10)</f>
        <v>2171.1</v>
      </c>
      <c r="D11" s="2">
        <f>SUM(D8:D10)</f>
        <v>1060</v>
      </c>
    </row>
    <row r="14" spans="1:4" x14ac:dyDescent="0.2">
      <c r="A14" s="142" t="s">
        <v>160</v>
      </c>
    </row>
    <row r="15" spans="1:4" x14ac:dyDescent="0.2">
      <c r="A15" s="142" t="s">
        <v>161</v>
      </c>
    </row>
    <row r="16" spans="1:4" x14ac:dyDescent="0.2">
      <c r="A16" s="142" t="s">
        <v>162</v>
      </c>
    </row>
    <row r="19" spans="1:10" x14ac:dyDescent="0.2">
      <c r="A19" s="41"/>
      <c r="I19" s="94"/>
      <c r="J19" s="94"/>
    </row>
    <row r="20" spans="1:10" x14ac:dyDescent="0.2">
      <c r="I20" s="2"/>
      <c r="J20" s="2"/>
    </row>
    <row r="21" spans="1:10" x14ac:dyDescent="0.2">
      <c r="I21" s="2"/>
      <c r="J21" s="2"/>
    </row>
    <row r="22" spans="1:10" x14ac:dyDescent="0.2">
      <c r="I22" s="143"/>
      <c r="J22" s="143"/>
    </row>
    <row r="23" spans="1:10" x14ac:dyDescent="0.2">
      <c r="J23" s="144"/>
    </row>
    <row r="25" spans="1:10" x14ac:dyDescent="0.2">
      <c r="I25" s="144"/>
      <c r="J25" s="144"/>
    </row>
    <row r="37" spans="1:5" x14ac:dyDescent="0.2">
      <c r="B37" s="133"/>
    </row>
    <row r="38" spans="1:5" x14ac:dyDescent="0.2">
      <c r="B38" s="145"/>
      <c r="C38" s="145"/>
    </row>
    <row r="39" spans="1:5" x14ac:dyDescent="0.2">
      <c r="B39" s="146"/>
      <c r="C39" s="147"/>
    </row>
    <row r="40" spans="1:5" x14ac:dyDescent="0.2">
      <c r="C40" s="119"/>
    </row>
    <row r="42" spans="1:5" x14ac:dyDescent="0.2">
      <c r="A42" t="s">
        <v>163</v>
      </c>
    </row>
    <row r="45" spans="1:5" x14ac:dyDescent="0.2">
      <c r="B45" s="127"/>
      <c r="C45" s="148"/>
      <c r="D45" s="149"/>
      <c r="E45" s="149"/>
    </row>
    <row r="46" spans="1:5" x14ac:dyDescent="0.2">
      <c r="C46" s="150"/>
      <c r="D46" s="150"/>
      <c r="E46" s="150"/>
    </row>
    <row r="47" spans="1:5" x14ac:dyDescent="0.2">
      <c r="C47" s="149"/>
      <c r="D47" s="149"/>
      <c r="E47" s="149"/>
    </row>
  </sheetData>
  <mergeCells count="1">
    <mergeCell ref="C6:D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C295D-344F-FF4C-8A45-BB1D2BB21F82}">
  <sheetPr>
    <tabColor theme="3" tint="0.39997558519241921"/>
  </sheetPr>
  <dimension ref="A1:F49"/>
  <sheetViews>
    <sheetView zoomScale="150" zoomScaleNormal="150" zoomScalePageLayoutView="150" workbookViewId="0">
      <selection activeCell="G25" sqref="G25"/>
    </sheetView>
  </sheetViews>
  <sheetFormatPr baseColWidth="10" defaultColWidth="11" defaultRowHeight="16" x14ac:dyDescent="0.2"/>
  <cols>
    <col min="1" max="1" width="37.83203125" customWidth="1"/>
    <col min="2" max="2" width="19" customWidth="1"/>
    <col min="3" max="3" width="29.33203125" customWidth="1"/>
    <col min="4" max="4" width="27.33203125" customWidth="1"/>
  </cols>
  <sheetData>
    <row r="1" spans="1:6" x14ac:dyDescent="0.2">
      <c r="A1" s="28" t="s">
        <v>44</v>
      </c>
      <c r="B1" s="29"/>
      <c r="C1" s="29"/>
      <c r="D1" s="29"/>
      <c r="E1" s="29"/>
      <c r="F1" s="29"/>
    </row>
    <row r="2" spans="1:6" x14ac:dyDescent="0.2">
      <c r="A2" s="28"/>
      <c r="B2" s="29"/>
      <c r="C2" s="29"/>
      <c r="D2" s="29"/>
      <c r="E2" s="29"/>
      <c r="F2" s="29"/>
    </row>
    <row r="3" spans="1:6" x14ac:dyDescent="0.2">
      <c r="A3" s="30" t="s">
        <v>45</v>
      </c>
      <c r="B3" s="31">
        <f>48000*1.5</f>
        <v>72000</v>
      </c>
      <c r="C3" s="30" t="s">
        <v>46</v>
      </c>
      <c r="D3" s="31">
        <f>4600*1.5</f>
        <v>6900</v>
      </c>
      <c r="E3" s="29"/>
      <c r="F3" s="29"/>
    </row>
    <row r="4" spans="1:6" x14ac:dyDescent="0.2">
      <c r="A4" s="30" t="s">
        <v>47</v>
      </c>
      <c r="B4" s="31">
        <f>39600*1.5</f>
        <v>59400</v>
      </c>
      <c r="C4" s="30" t="s">
        <v>48</v>
      </c>
      <c r="D4" s="31">
        <f>16000*1.5</f>
        <v>24000</v>
      </c>
      <c r="E4" s="29"/>
      <c r="F4" s="29"/>
    </row>
    <row r="5" spans="1:6" x14ac:dyDescent="0.2">
      <c r="A5" s="30"/>
      <c r="B5" s="31"/>
      <c r="C5" s="30" t="s">
        <v>49</v>
      </c>
      <c r="D5" s="31">
        <f>27600*1.5</f>
        <v>41400</v>
      </c>
      <c r="E5" s="29"/>
      <c r="F5" s="29"/>
    </row>
    <row r="6" spans="1:6" x14ac:dyDescent="0.2">
      <c r="A6" s="30" t="s">
        <v>50</v>
      </c>
      <c r="B6" s="31">
        <f>96000*1.5</f>
        <v>144000</v>
      </c>
      <c r="C6" s="30" t="s">
        <v>51</v>
      </c>
      <c r="D6" s="31">
        <f>8650*1.5</f>
        <v>12975</v>
      </c>
      <c r="E6" s="29"/>
      <c r="F6" s="29"/>
    </row>
    <row r="7" spans="1:6" x14ac:dyDescent="0.2">
      <c r="A7" s="30"/>
      <c r="B7" s="31"/>
      <c r="C7" s="30" t="s">
        <v>52</v>
      </c>
      <c r="D7" s="31">
        <f>534000*1.5</f>
        <v>801000</v>
      </c>
      <c r="E7" s="29"/>
      <c r="F7" s="29"/>
    </row>
    <row r="8" spans="1:6" x14ac:dyDescent="0.2">
      <c r="A8" s="30" t="s">
        <v>53</v>
      </c>
      <c r="B8" s="31">
        <f>75900*1.5</f>
        <v>113850</v>
      </c>
      <c r="C8" s="30" t="s">
        <v>54</v>
      </c>
      <c r="D8" s="31">
        <f>24200*1.5</f>
        <v>36300</v>
      </c>
      <c r="E8" s="29"/>
      <c r="F8" s="29"/>
    </row>
    <row r="9" spans="1:6" x14ac:dyDescent="0.2">
      <c r="A9" s="30"/>
      <c r="B9" s="31"/>
      <c r="C9" s="30" t="s">
        <v>55</v>
      </c>
      <c r="D9" s="31">
        <f>58000*1.5</f>
        <v>87000</v>
      </c>
      <c r="E9" s="29"/>
      <c r="F9" s="29"/>
    </row>
    <row r="10" spans="1:6" x14ac:dyDescent="0.2">
      <c r="A10" s="30" t="s">
        <v>56</v>
      </c>
      <c r="B10" s="31">
        <f>19800*1.5</f>
        <v>29700</v>
      </c>
      <c r="C10" s="30" t="s">
        <v>57</v>
      </c>
      <c r="D10" s="31">
        <f>9600*1.5</f>
        <v>14400</v>
      </c>
      <c r="E10" s="29"/>
      <c r="F10" s="29"/>
    </row>
    <row r="11" spans="1:6" x14ac:dyDescent="0.2">
      <c r="A11" s="30"/>
      <c r="B11" s="31"/>
      <c r="C11" s="30" t="s">
        <v>58</v>
      </c>
      <c r="D11" s="31">
        <f>1400*1.5</f>
        <v>2100</v>
      </c>
      <c r="E11" s="29"/>
      <c r="F11" s="29"/>
    </row>
    <row r="12" spans="1:6" x14ac:dyDescent="0.2">
      <c r="A12" s="30" t="s">
        <v>59</v>
      </c>
      <c r="B12" s="31">
        <f>18600*1.5</f>
        <v>27900</v>
      </c>
      <c r="C12" s="30" t="s">
        <v>60</v>
      </c>
      <c r="D12" s="31">
        <f>96400*1.5</f>
        <v>144600</v>
      </c>
      <c r="E12" s="29"/>
      <c r="F12" s="29"/>
    </row>
    <row r="13" spans="1:6" x14ac:dyDescent="0.2">
      <c r="A13" s="30" t="s">
        <v>16</v>
      </c>
      <c r="B13" s="31">
        <f>139250*1.5</f>
        <v>208875</v>
      </c>
      <c r="C13" s="30" t="s">
        <v>6</v>
      </c>
      <c r="D13" s="31">
        <f>32000*1.5</f>
        <v>48000</v>
      </c>
      <c r="E13" s="29"/>
      <c r="F13" s="29"/>
    </row>
    <row r="14" spans="1:6" x14ac:dyDescent="0.2">
      <c r="A14" s="30" t="s">
        <v>61</v>
      </c>
      <c r="B14" s="31">
        <f>24460*1.5</f>
        <v>36690</v>
      </c>
      <c r="C14" s="30"/>
      <c r="D14" s="31"/>
      <c r="E14" s="29"/>
      <c r="F14" s="29"/>
    </row>
    <row r="15" spans="1:6" x14ac:dyDescent="0.2">
      <c r="A15" s="30" t="s">
        <v>62</v>
      </c>
      <c r="B15" s="31">
        <f>27000*1.5</f>
        <v>40500</v>
      </c>
      <c r="C15" s="30"/>
      <c r="D15" s="31"/>
      <c r="E15" s="29"/>
      <c r="F15" s="29"/>
    </row>
    <row r="16" spans="1:6" x14ac:dyDescent="0.2">
      <c r="A16" s="32"/>
      <c r="B16" s="33"/>
      <c r="C16" s="32"/>
      <c r="D16" s="33"/>
      <c r="E16" s="29"/>
      <c r="F16" s="29"/>
    </row>
    <row r="17" spans="1:6" x14ac:dyDescent="0.2">
      <c r="A17" s="34" t="s">
        <v>63</v>
      </c>
      <c r="B17" s="29"/>
      <c r="C17" s="29"/>
      <c r="D17" s="29"/>
      <c r="E17" s="29"/>
      <c r="F17" s="29"/>
    </row>
    <row r="18" spans="1:6" x14ac:dyDescent="0.2">
      <c r="A18" s="29"/>
      <c r="B18" s="29"/>
      <c r="C18" s="29"/>
      <c r="D18" s="29"/>
      <c r="E18" s="29"/>
      <c r="F18" s="29"/>
    </row>
    <row r="19" spans="1:6" x14ac:dyDescent="0.2">
      <c r="A19" s="35" t="s">
        <v>64</v>
      </c>
      <c r="B19" s="29"/>
      <c r="C19" s="29"/>
      <c r="D19" s="29"/>
      <c r="E19" s="29"/>
      <c r="F19" s="29"/>
    </row>
    <row r="20" spans="1:6" x14ac:dyDescent="0.2">
      <c r="A20" s="36"/>
      <c r="B20" s="29"/>
      <c r="C20" s="29"/>
      <c r="D20" s="29"/>
      <c r="E20" s="29"/>
      <c r="F20" s="29"/>
    </row>
    <row r="21" spans="1:6" x14ac:dyDescent="0.2">
      <c r="A21" s="35" t="s">
        <v>65</v>
      </c>
      <c r="B21" s="29"/>
      <c r="C21" s="29"/>
      <c r="D21" s="29"/>
      <c r="E21" s="29"/>
      <c r="F21" s="29"/>
    </row>
    <row r="22" spans="1:6" x14ac:dyDescent="0.2">
      <c r="A22" s="36"/>
      <c r="B22" s="29"/>
      <c r="C22" s="29"/>
      <c r="D22" s="29"/>
      <c r="E22" s="29"/>
      <c r="F22" s="29"/>
    </row>
    <row r="23" spans="1:6" x14ac:dyDescent="0.2">
      <c r="A23" s="35" t="s">
        <v>66</v>
      </c>
      <c r="B23" s="29"/>
      <c r="C23" s="29"/>
      <c r="D23" s="29"/>
      <c r="E23" s="29"/>
      <c r="F23" s="29"/>
    </row>
    <row r="24" spans="1:6" ht="21" thickBot="1" x14ac:dyDescent="0.25">
      <c r="A24" s="37"/>
      <c r="B24" s="29"/>
      <c r="C24" s="29"/>
      <c r="D24" s="29"/>
      <c r="E24" s="29"/>
      <c r="F24" s="29"/>
    </row>
    <row r="25" spans="1:6" x14ac:dyDescent="0.2">
      <c r="A25" s="38"/>
      <c r="B25" s="29"/>
      <c r="C25" s="29"/>
      <c r="D25" s="29"/>
    </row>
    <row r="26" spans="1:6" ht="17" thickBot="1" x14ac:dyDescent="0.25">
      <c r="A26" s="39"/>
      <c r="B26" s="40"/>
      <c r="C26" s="40"/>
      <c r="D26" s="40"/>
    </row>
    <row r="27" spans="1:6" x14ac:dyDescent="0.2">
      <c r="A27" s="38"/>
      <c r="B27" s="40"/>
      <c r="C27" s="40"/>
      <c r="D27" s="40"/>
    </row>
    <row r="28" spans="1:6" ht="17" thickBot="1" x14ac:dyDescent="0.25">
      <c r="A28" s="39"/>
      <c r="B28" s="40"/>
      <c r="C28" s="40"/>
      <c r="D28" s="40"/>
    </row>
    <row r="29" spans="1:6" x14ac:dyDescent="0.2">
      <c r="A29" s="38"/>
      <c r="B29" s="40"/>
      <c r="C29" s="40"/>
      <c r="D29" s="40"/>
    </row>
    <row r="30" spans="1:6" ht="17" thickBot="1" x14ac:dyDescent="0.25">
      <c r="A30" s="39"/>
      <c r="B30" s="40"/>
      <c r="C30" s="40"/>
      <c r="D30" s="40"/>
    </row>
    <row r="31" spans="1:6" x14ac:dyDescent="0.2">
      <c r="A31" s="38"/>
      <c r="B31" s="40"/>
      <c r="C31" s="40"/>
      <c r="D31" s="40"/>
    </row>
    <row r="32" spans="1:6" ht="17" thickBot="1" x14ac:dyDescent="0.25">
      <c r="A32" s="39"/>
      <c r="B32" s="40"/>
      <c r="C32" s="40"/>
      <c r="D32" s="40"/>
    </row>
    <row r="33" spans="1:4" x14ac:dyDescent="0.2">
      <c r="A33" s="38"/>
      <c r="B33" s="40"/>
      <c r="C33" s="40"/>
      <c r="D33" s="40"/>
    </row>
    <row r="34" spans="1:4" ht="17" thickBot="1" x14ac:dyDescent="0.25">
      <c r="A34" s="39"/>
      <c r="B34" s="40"/>
      <c r="C34" s="40"/>
      <c r="D34" s="40"/>
    </row>
    <row r="35" spans="1:4" x14ac:dyDescent="0.2">
      <c r="A35" s="38"/>
      <c r="B35" s="40"/>
      <c r="C35" s="40"/>
      <c r="D35" s="40"/>
    </row>
    <row r="36" spans="1:4" ht="17" thickBot="1" x14ac:dyDescent="0.25">
      <c r="A36" s="39"/>
      <c r="B36" s="40"/>
      <c r="C36" s="40"/>
      <c r="D36" s="40"/>
    </row>
    <row r="37" spans="1:4" x14ac:dyDescent="0.2">
      <c r="A37" s="38"/>
      <c r="B37" s="40"/>
      <c r="C37" s="40"/>
      <c r="D37" s="40"/>
    </row>
    <row r="38" spans="1:4" ht="17" thickBot="1" x14ac:dyDescent="0.25">
      <c r="A38" s="39"/>
      <c r="B38" s="40"/>
      <c r="C38" s="40"/>
      <c r="D38" s="40"/>
    </row>
    <row r="39" spans="1:4" x14ac:dyDescent="0.2">
      <c r="A39" s="38"/>
      <c r="B39" s="40"/>
      <c r="C39" s="40"/>
      <c r="D39" s="40"/>
    </row>
    <row r="40" spans="1:4" ht="17" thickBot="1" x14ac:dyDescent="0.25">
      <c r="A40" s="39"/>
      <c r="B40" s="40"/>
      <c r="C40" s="40"/>
      <c r="D40" s="40"/>
    </row>
    <row r="41" spans="1:4" ht="17" thickBot="1" x14ac:dyDescent="0.25">
      <c r="A41" s="38"/>
      <c r="B41" s="40"/>
      <c r="C41" s="40"/>
      <c r="D41" s="40"/>
    </row>
    <row r="42" spans="1:4" x14ac:dyDescent="0.2">
      <c r="A42" s="38"/>
      <c r="B42" s="40"/>
      <c r="C42" s="40"/>
      <c r="D42" s="40"/>
    </row>
    <row r="43" spans="1:4" ht="17" thickBot="1" x14ac:dyDescent="0.25">
      <c r="A43" s="39"/>
      <c r="B43" s="40"/>
      <c r="C43" s="40"/>
      <c r="D43" s="40"/>
    </row>
    <row r="44" spans="1:4" x14ac:dyDescent="0.2">
      <c r="A44" s="38"/>
      <c r="B44" s="40"/>
      <c r="C44" s="40"/>
      <c r="D44" s="40"/>
    </row>
    <row r="45" spans="1:4" ht="17" thickBot="1" x14ac:dyDescent="0.25">
      <c r="A45" s="39"/>
      <c r="B45" s="40"/>
      <c r="C45" s="40"/>
      <c r="D45" s="40"/>
    </row>
    <row r="46" spans="1:4" x14ac:dyDescent="0.2">
      <c r="A46" s="38"/>
      <c r="B46" s="40"/>
      <c r="C46" s="40"/>
      <c r="D46" s="40"/>
    </row>
    <row r="47" spans="1:4" ht="17" thickBot="1" x14ac:dyDescent="0.25">
      <c r="A47" s="39"/>
      <c r="B47" s="40"/>
      <c r="C47" s="40"/>
      <c r="D47" s="40"/>
    </row>
    <row r="48" spans="1:4" x14ac:dyDescent="0.2">
      <c r="A48" s="38"/>
      <c r="B48" s="40"/>
      <c r="C48" s="40"/>
      <c r="D48" s="40"/>
    </row>
    <row r="49" spans="1:4" ht="17" thickBot="1" x14ac:dyDescent="0.25">
      <c r="A49" s="39"/>
      <c r="B49" s="40"/>
      <c r="C49" s="40"/>
      <c r="D49" s="40"/>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3E34E-EBDE-E741-A16B-410BB91F076F}">
  <dimension ref="A1:D57"/>
  <sheetViews>
    <sheetView zoomScale="190" zoomScaleNormal="190" workbookViewId="0">
      <selection activeCell="D22" sqref="D22"/>
    </sheetView>
  </sheetViews>
  <sheetFormatPr baseColWidth="10" defaultRowHeight="16" x14ac:dyDescent="0.2"/>
  <cols>
    <col min="1" max="1" width="23.83203125" customWidth="1"/>
    <col min="2" max="2" width="19.83203125" customWidth="1"/>
    <col min="3" max="3" width="19.5" customWidth="1"/>
  </cols>
  <sheetData>
    <row r="1" spans="1:4" x14ac:dyDescent="0.2">
      <c r="A1" s="28" t="s">
        <v>128</v>
      </c>
      <c r="B1" s="29"/>
      <c r="C1" s="29"/>
      <c r="D1" s="29"/>
    </row>
    <row r="2" spans="1:4" x14ac:dyDescent="0.2">
      <c r="A2" s="103"/>
      <c r="B2" s="29"/>
      <c r="C2" s="29"/>
      <c r="D2" s="29"/>
    </row>
    <row r="3" spans="1:4" x14ac:dyDescent="0.2">
      <c r="A3" s="35" t="s">
        <v>94</v>
      </c>
      <c r="B3" s="29"/>
      <c r="C3" s="29"/>
      <c r="D3" s="29"/>
    </row>
    <row r="4" spans="1:4" x14ac:dyDescent="0.2">
      <c r="A4" s="28" t="s">
        <v>95</v>
      </c>
      <c r="B4" s="29"/>
      <c r="C4" s="29"/>
      <c r="D4" s="29"/>
    </row>
    <row r="5" spans="1:4" x14ac:dyDescent="0.2">
      <c r="A5" s="28"/>
      <c r="B5" s="29"/>
      <c r="C5" s="29"/>
      <c r="D5" s="29"/>
    </row>
    <row r="6" spans="1:4" ht="17" thickBot="1" x14ac:dyDescent="0.25">
      <c r="A6" s="35" t="s">
        <v>96</v>
      </c>
      <c r="B6" s="29"/>
      <c r="C6" s="29"/>
      <c r="D6" s="29"/>
    </row>
    <row r="7" spans="1:4" ht="17" thickBot="1" x14ac:dyDescent="0.25">
      <c r="A7" s="104" t="s">
        <v>97</v>
      </c>
      <c r="B7" s="105" t="s">
        <v>89</v>
      </c>
      <c r="C7" s="105" t="s">
        <v>98</v>
      </c>
      <c r="D7" s="29"/>
    </row>
    <row r="8" spans="1:4" x14ac:dyDescent="0.2">
      <c r="A8" s="106" t="s">
        <v>99</v>
      </c>
      <c r="B8" s="107" t="s">
        <v>100</v>
      </c>
      <c r="C8" s="107" t="s">
        <v>101</v>
      </c>
      <c r="D8" s="29"/>
    </row>
    <row r="9" spans="1:4" x14ac:dyDescent="0.2">
      <c r="A9" s="106" t="s">
        <v>102</v>
      </c>
      <c r="B9" s="108" t="s">
        <v>103</v>
      </c>
      <c r="C9" s="108" t="s">
        <v>104</v>
      </c>
      <c r="D9" s="29"/>
    </row>
    <row r="10" spans="1:4" x14ac:dyDescent="0.2">
      <c r="A10" s="106" t="s">
        <v>105</v>
      </c>
      <c r="B10" s="108" t="s">
        <v>106</v>
      </c>
      <c r="C10" s="108" t="s">
        <v>107</v>
      </c>
      <c r="D10" s="29"/>
    </row>
    <row r="11" spans="1:4" ht="17" thickBot="1" x14ac:dyDescent="0.25">
      <c r="A11" s="109" t="s">
        <v>108</v>
      </c>
      <c r="B11" s="108" t="s">
        <v>109</v>
      </c>
      <c r="C11" s="108" t="s">
        <v>110</v>
      </c>
      <c r="D11" s="29"/>
    </row>
    <row r="12" spans="1:4" ht="17" thickBot="1" x14ac:dyDescent="0.25">
      <c r="A12" s="110" t="s">
        <v>111</v>
      </c>
      <c r="B12" s="111" t="s">
        <v>112</v>
      </c>
      <c r="C12" s="112" t="s">
        <v>113</v>
      </c>
      <c r="D12" s="29"/>
    </row>
    <row r="13" spans="1:4" ht="17" thickBot="1" x14ac:dyDescent="0.25">
      <c r="A13" s="32"/>
      <c r="B13" s="113" t="s">
        <v>114</v>
      </c>
      <c r="C13" s="113" t="s">
        <v>115</v>
      </c>
      <c r="D13" s="29"/>
    </row>
    <row r="14" spans="1:4" x14ac:dyDescent="0.2">
      <c r="A14" s="35" t="s">
        <v>116</v>
      </c>
      <c r="B14" s="29"/>
      <c r="C14" s="29"/>
      <c r="D14" s="29"/>
    </row>
    <row r="15" spans="1:4" x14ac:dyDescent="0.2">
      <c r="A15" s="28" t="s">
        <v>117</v>
      </c>
      <c r="B15" s="29"/>
      <c r="C15" s="29"/>
      <c r="D15" s="29"/>
    </row>
    <row r="16" spans="1:4" x14ac:dyDescent="0.2">
      <c r="A16" s="35" t="s">
        <v>118</v>
      </c>
      <c r="B16" s="29"/>
      <c r="C16" s="29"/>
      <c r="D16" s="29"/>
    </row>
    <row r="17" spans="1:4" x14ac:dyDescent="0.2">
      <c r="A17" s="28" t="s">
        <v>119</v>
      </c>
      <c r="B17" s="29"/>
      <c r="C17" s="29"/>
      <c r="D17" s="29"/>
    </row>
    <row r="18" spans="1:4" x14ac:dyDescent="0.2">
      <c r="A18" s="35" t="s">
        <v>120</v>
      </c>
      <c r="B18" s="29"/>
      <c r="C18" s="29"/>
      <c r="D18" s="29"/>
    </row>
    <row r="19" spans="1:4" x14ac:dyDescent="0.2">
      <c r="A19" s="28" t="s">
        <v>121</v>
      </c>
      <c r="B19" s="29"/>
      <c r="C19" s="29"/>
      <c r="D19" s="29"/>
    </row>
    <row r="20" spans="1:4" x14ac:dyDescent="0.2">
      <c r="A20" s="35" t="s">
        <v>122</v>
      </c>
      <c r="B20" s="29"/>
      <c r="C20" s="29"/>
      <c r="D20" s="29"/>
    </row>
    <row r="21" spans="1:4" x14ac:dyDescent="0.2">
      <c r="A21" s="35" t="s">
        <v>123</v>
      </c>
      <c r="B21" s="29"/>
      <c r="C21" s="29"/>
      <c r="D21" s="29"/>
    </row>
    <row r="22" spans="1:4" x14ac:dyDescent="0.2">
      <c r="A22" s="29"/>
      <c r="B22" s="29"/>
      <c r="C22" s="29"/>
      <c r="D22" s="29"/>
    </row>
    <row r="23" spans="1:4" x14ac:dyDescent="0.2">
      <c r="A23" s="34" t="s">
        <v>63</v>
      </c>
      <c r="B23" s="29"/>
      <c r="C23" s="29"/>
      <c r="D23" s="29"/>
    </row>
    <row r="24" spans="1:4" x14ac:dyDescent="0.2">
      <c r="A24" s="29"/>
      <c r="B24" s="29"/>
      <c r="C24" s="29"/>
      <c r="D24" s="29"/>
    </row>
    <row r="25" spans="1:4" x14ac:dyDescent="0.2">
      <c r="A25" s="28" t="s">
        <v>124</v>
      </c>
      <c r="B25" s="29"/>
      <c r="C25" s="29"/>
      <c r="D25" s="29"/>
    </row>
    <row r="27" spans="1:4" ht="17" thickBot="1" x14ac:dyDescent="0.25">
      <c r="A27" s="114" t="s">
        <v>125</v>
      </c>
      <c r="B27" s="62" t="s">
        <v>126</v>
      </c>
      <c r="C27" s="62" t="s">
        <v>127</v>
      </c>
    </row>
    <row r="28" spans="1:4" x14ac:dyDescent="0.2">
      <c r="A28" s="115"/>
      <c r="B28" s="76"/>
      <c r="C28" s="116"/>
    </row>
    <row r="29" spans="1:4" x14ac:dyDescent="0.2">
      <c r="A29" s="65"/>
      <c r="C29" s="66"/>
    </row>
    <row r="30" spans="1:4" x14ac:dyDescent="0.2">
      <c r="A30" s="65"/>
      <c r="C30" s="66"/>
    </row>
    <row r="31" spans="1:4" x14ac:dyDescent="0.2">
      <c r="A31" s="65"/>
      <c r="C31" s="66"/>
    </row>
    <row r="32" spans="1:4" x14ac:dyDescent="0.2">
      <c r="A32" s="65"/>
      <c r="C32" s="66"/>
    </row>
    <row r="33" spans="1:3" x14ac:dyDescent="0.2">
      <c r="A33" s="65"/>
      <c r="C33" s="66"/>
    </row>
    <row r="34" spans="1:3" x14ac:dyDescent="0.2">
      <c r="A34" s="65"/>
      <c r="C34" s="66"/>
    </row>
    <row r="35" spans="1:3" x14ac:dyDescent="0.2">
      <c r="A35" s="65"/>
      <c r="C35" s="66"/>
    </row>
    <row r="36" spans="1:3" x14ac:dyDescent="0.2">
      <c r="A36" s="65"/>
      <c r="C36" s="66"/>
    </row>
    <row r="37" spans="1:3" x14ac:dyDescent="0.2">
      <c r="A37" s="65"/>
      <c r="C37" s="66"/>
    </row>
    <row r="38" spans="1:3" x14ac:dyDescent="0.2">
      <c r="A38" s="65"/>
      <c r="C38" s="66"/>
    </row>
    <row r="39" spans="1:3" x14ac:dyDescent="0.2">
      <c r="A39" s="65"/>
      <c r="C39" s="66"/>
    </row>
    <row r="40" spans="1:3" x14ac:dyDescent="0.2">
      <c r="A40" s="65"/>
      <c r="C40" s="66"/>
    </row>
    <row r="41" spans="1:3" x14ac:dyDescent="0.2">
      <c r="A41" s="65"/>
      <c r="C41" s="66"/>
    </row>
    <row r="42" spans="1:3" x14ac:dyDescent="0.2">
      <c r="A42" s="65"/>
      <c r="C42" s="66"/>
    </row>
    <row r="43" spans="1:3" x14ac:dyDescent="0.2">
      <c r="A43" s="65"/>
      <c r="C43" s="66"/>
    </row>
    <row r="44" spans="1:3" x14ac:dyDescent="0.2">
      <c r="A44" s="65"/>
      <c r="C44" s="66"/>
    </row>
    <row r="45" spans="1:3" x14ac:dyDescent="0.2">
      <c r="A45" s="65"/>
      <c r="C45" s="66"/>
    </row>
    <row r="46" spans="1:3" x14ac:dyDescent="0.2">
      <c r="A46" s="65"/>
      <c r="C46" s="66"/>
    </row>
    <row r="47" spans="1:3" x14ac:dyDescent="0.2">
      <c r="A47" s="65"/>
      <c r="C47" s="66"/>
    </row>
    <row r="48" spans="1:3" x14ac:dyDescent="0.2">
      <c r="A48" s="65"/>
      <c r="C48" s="66"/>
    </row>
    <row r="49" spans="1:3" x14ac:dyDescent="0.2">
      <c r="A49" s="65"/>
      <c r="C49" s="66"/>
    </row>
    <row r="50" spans="1:3" x14ac:dyDescent="0.2">
      <c r="A50" s="65"/>
      <c r="C50" s="66"/>
    </row>
    <row r="51" spans="1:3" x14ac:dyDescent="0.2">
      <c r="A51" s="65"/>
      <c r="C51" s="66"/>
    </row>
    <row r="52" spans="1:3" x14ac:dyDescent="0.2">
      <c r="A52" s="65"/>
      <c r="C52" s="66"/>
    </row>
    <row r="53" spans="1:3" x14ac:dyDescent="0.2">
      <c r="A53" s="65"/>
      <c r="C53" s="66"/>
    </row>
    <row r="54" spans="1:3" x14ac:dyDescent="0.2">
      <c r="A54" s="65"/>
      <c r="C54" s="66"/>
    </row>
    <row r="55" spans="1:3" x14ac:dyDescent="0.2">
      <c r="A55" s="65"/>
      <c r="C55" s="66"/>
    </row>
    <row r="56" spans="1:3" x14ac:dyDescent="0.2">
      <c r="A56" s="65"/>
      <c r="C56" s="66"/>
    </row>
    <row r="57" spans="1:3" x14ac:dyDescent="0.2">
      <c r="A57" s="65"/>
      <c r="C57" s="66"/>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1A172-4F5C-6B49-B801-DD6C2D18DA2D}">
  <sheetPr>
    <tabColor theme="6" tint="-0.499984740745262"/>
  </sheetPr>
  <dimension ref="A1:H51"/>
  <sheetViews>
    <sheetView zoomScale="150" zoomScaleNormal="150" zoomScalePageLayoutView="150" workbookViewId="0">
      <selection activeCell="E25" sqref="E25"/>
    </sheetView>
  </sheetViews>
  <sheetFormatPr baseColWidth="10" defaultColWidth="11" defaultRowHeight="16" x14ac:dyDescent="0.2"/>
  <cols>
    <col min="1" max="1" width="61.1640625" customWidth="1"/>
    <col min="2" max="2" width="15.33203125" customWidth="1"/>
    <col min="3" max="3" width="21.33203125" customWidth="1"/>
    <col min="4" max="4" width="29.6640625" customWidth="1"/>
  </cols>
  <sheetData>
    <row r="1" spans="1:4" x14ac:dyDescent="0.2">
      <c r="A1" s="41" t="s">
        <v>67</v>
      </c>
    </row>
    <row r="2" spans="1:4" ht="17" thickBot="1" x14ac:dyDescent="0.25">
      <c r="A2" s="42" t="s">
        <v>68</v>
      </c>
    </row>
    <row r="3" spans="1:4" ht="17" thickBot="1" x14ac:dyDescent="0.25">
      <c r="A3" s="43" t="s">
        <v>69</v>
      </c>
      <c r="B3" s="44" t="s">
        <v>26</v>
      </c>
      <c r="C3" s="45" t="s">
        <v>70</v>
      </c>
    </row>
    <row r="4" spans="1:4" x14ac:dyDescent="0.2">
      <c r="A4" s="46" t="s">
        <v>71</v>
      </c>
      <c r="B4" s="46">
        <v>500</v>
      </c>
      <c r="C4" s="47">
        <v>0.6</v>
      </c>
    </row>
    <row r="5" spans="1:4" x14ac:dyDescent="0.2">
      <c r="A5" s="48" t="s">
        <v>72</v>
      </c>
      <c r="B5" s="48">
        <v>1000</v>
      </c>
      <c r="C5" s="49"/>
    </row>
    <row r="6" spans="1:4" ht="17" thickBot="1" x14ac:dyDescent="0.25">
      <c r="A6" s="50" t="s">
        <v>73</v>
      </c>
      <c r="B6" s="50">
        <v>600</v>
      </c>
      <c r="C6" s="51">
        <v>0.4</v>
      </c>
    </row>
    <row r="7" spans="1:4" ht="17" thickBot="1" x14ac:dyDescent="0.25">
      <c r="A7" s="52" t="s">
        <v>74</v>
      </c>
      <c r="B7" s="53"/>
      <c r="C7" s="53"/>
    </row>
    <row r="8" spans="1:4" x14ac:dyDescent="0.2">
      <c r="A8" s="46" t="s">
        <v>75</v>
      </c>
      <c r="B8" s="46"/>
      <c r="C8" s="54"/>
      <c r="D8" s="53"/>
    </row>
    <row r="9" spans="1:4" x14ac:dyDescent="0.2">
      <c r="A9" s="48" t="s">
        <v>76</v>
      </c>
      <c r="B9" s="55">
        <v>750</v>
      </c>
      <c r="C9" s="49"/>
      <c r="D9" s="53"/>
    </row>
    <row r="10" spans="1:4" x14ac:dyDescent="0.2">
      <c r="A10" s="48" t="s">
        <v>77</v>
      </c>
      <c r="B10" s="55">
        <v>600</v>
      </c>
      <c r="C10" s="56">
        <f>B9+B10</f>
        <v>1350</v>
      </c>
      <c r="D10" s="53"/>
    </row>
    <row r="11" spans="1:4" x14ac:dyDescent="0.2">
      <c r="A11" s="48" t="s">
        <v>78</v>
      </c>
      <c r="B11" s="48"/>
      <c r="C11" s="56">
        <v>2400</v>
      </c>
      <c r="D11" s="53"/>
    </row>
    <row r="12" spans="1:4" x14ac:dyDescent="0.2">
      <c r="A12" s="48" t="s">
        <v>38</v>
      </c>
      <c r="B12" s="48"/>
      <c r="C12" s="56">
        <v>1580</v>
      </c>
      <c r="D12" s="53"/>
    </row>
    <row r="13" spans="1:4" ht="17" thickBot="1" x14ac:dyDescent="0.25">
      <c r="A13" s="50" t="s">
        <v>39</v>
      </c>
      <c r="B13" s="50"/>
      <c r="C13" s="57">
        <v>1240</v>
      </c>
      <c r="D13" s="53"/>
    </row>
    <row r="15" spans="1:4" x14ac:dyDescent="0.2">
      <c r="A15" s="58" t="s">
        <v>63</v>
      </c>
    </row>
    <row r="16" spans="1:4" ht="20" x14ac:dyDescent="0.2">
      <c r="A16" s="59" t="s">
        <v>79</v>
      </c>
    </row>
    <row r="17" spans="1:4" ht="20" x14ac:dyDescent="0.2">
      <c r="A17" s="60" t="s">
        <v>80</v>
      </c>
    </row>
    <row r="18" spans="1:4" ht="20" x14ac:dyDescent="0.2">
      <c r="A18" s="60" t="s">
        <v>81</v>
      </c>
    </row>
    <row r="19" spans="1:4" ht="20" x14ac:dyDescent="0.2">
      <c r="A19" s="60" t="s">
        <v>82</v>
      </c>
    </row>
    <row r="21" spans="1:4" ht="17" thickBot="1" x14ac:dyDescent="0.25"/>
    <row r="22" spans="1:4" x14ac:dyDescent="0.2">
      <c r="A22" s="61"/>
      <c r="B22" s="61"/>
      <c r="C22" s="161" t="s">
        <v>83</v>
      </c>
      <c r="D22" s="162"/>
    </row>
    <row r="23" spans="1:4" ht="17" thickBot="1" x14ac:dyDescent="0.25">
      <c r="A23" s="61"/>
      <c r="B23" s="62" t="s">
        <v>84</v>
      </c>
      <c r="C23" s="63" t="s">
        <v>85</v>
      </c>
      <c r="D23" s="64" t="s">
        <v>86</v>
      </c>
    </row>
    <row r="24" spans="1:4" x14ac:dyDescent="0.2">
      <c r="A24" s="65" t="s">
        <v>87</v>
      </c>
      <c r="B24" s="65"/>
      <c r="C24" s="65"/>
      <c r="D24" s="66"/>
    </row>
    <row r="25" spans="1:4" x14ac:dyDescent="0.2">
      <c r="A25" s="67"/>
      <c r="B25" s="65"/>
      <c r="C25" s="65"/>
      <c r="D25" s="66"/>
    </row>
    <row r="26" spans="1:4" ht="17" thickBot="1" x14ac:dyDescent="0.25">
      <c r="A26" s="67"/>
      <c r="B26" s="65"/>
      <c r="C26" s="65"/>
      <c r="D26" s="66"/>
    </row>
    <row r="27" spans="1:4" ht="17" thickBot="1" x14ac:dyDescent="0.25">
      <c r="A27" s="68" t="s">
        <v>20</v>
      </c>
      <c r="B27" s="69"/>
      <c r="C27" s="65"/>
      <c r="D27" s="66"/>
    </row>
    <row r="28" spans="1:4" ht="17" thickBot="1" x14ac:dyDescent="0.25">
      <c r="A28" s="65" t="s">
        <v>87</v>
      </c>
      <c r="B28" s="65"/>
      <c r="C28" s="65"/>
      <c r="D28" s="66"/>
    </row>
    <row r="29" spans="1:4" x14ac:dyDescent="0.2">
      <c r="A29" s="70"/>
      <c r="B29" s="65"/>
      <c r="C29" s="71"/>
      <c r="D29" s="72"/>
    </row>
    <row r="30" spans="1:4" ht="17" thickBot="1" x14ac:dyDescent="0.25">
      <c r="A30" s="73"/>
      <c r="B30" s="65"/>
      <c r="C30" s="65"/>
      <c r="D30" s="66"/>
    </row>
    <row r="31" spans="1:4" ht="17" thickBot="1" x14ac:dyDescent="0.25">
      <c r="A31" s="68" t="str">
        <f>A27</f>
        <v>Total</v>
      </c>
      <c r="B31" s="69"/>
      <c r="C31" s="74"/>
      <c r="D31" s="74"/>
    </row>
    <row r="32" spans="1:4" ht="17" thickBot="1" x14ac:dyDescent="0.25">
      <c r="A32" s="75" t="s">
        <v>88</v>
      </c>
      <c r="C32" s="62" t="s">
        <v>89</v>
      </c>
      <c r="D32" s="62" t="s">
        <v>90</v>
      </c>
    </row>
    <row r="33" spans="1:8" x14ac:dyDescent="0.2">
      <c r="B33" s="76"/>
      <c r="C33" s="77"/>
      <c r="D33" s="78"/>
      <c r="E33" s="79"/>
    </row>
    <row r="34" spans="1:8" ht="17" thickBot="1" x14ac:dyDescent="0.25">
      <c r="A34" s="80"/>
      <c r="C34" s="81"/>
      <c r="D34" s="82"/>
      <c r="E34" s="79"/>
    </row>
    <row r="35" spans="1:8" ht="17" thickBot="1" x14ac:dyDescent="0.25">
      <c r="A35" s="83" t="s">
        <v>20</v>
      </c>
      <c r="B35" s="84"/>
      <c r="C35" s="85"/>
      <c r="D35" s="85"/>
      <c r="E35" s="86"/>
    </row>
    <row r="36" spans="1:8" ht="17" thickBot="1" x14ac:dyDescent="0.25">
      <c r="A36" s="87"/>
      <c r="C36" s="88"/>
      <c r="D36" s="88"/>
      <c r="E36" s="89"/>
    </row>
    <row r="37" spans="1:8" ht="17" thickBot="1" x14ac:dyDescent="0.25">
      <c r="A37" s="80"/>
      <c r="C37" s="87"/>
      <c r="D37" s="66"/>
    </row>
    <row r="38" spans="1:8" ht="17" thickBot="1" x14ac:dyDescent="0.25">
      <c r="A38" s="90"/>
      <c r="B38" s="84"/>
      <c r="C38" s="91"/>
      <c r="D38" s="86"/>
      <c r="E38" s="86"/>
    </row>
    <row r="39" spans="1:8" ht="17" thickBot="1" x14ac:dyDescent="0.25">
      <c r="A39" t="s">
        <v>91</v>
      </c>
      <c r="D39" s="26"/>
    </row>
    <row r="40" spans="1:8" ht="17" thickBot="1" x14ac:dyDescent="0.25">
      <c r="C40" s="92" t="str">
        <f>C32</f>
        <v>Materials</v>
      </c>
      <c r="D40" s="92" t="s">
        <v>90</v>
      </c>
      <c r="E40" s="93" t="s">
        <v>29</v>
      </c>
      <c r="G40" s="163" t="s">
        <v>92</v>
      </c>
      <c r="H40" s="163"/>
    </row>
    <row r="41" spans="1:8" ht="17" thickBot="1" x14ac:dyDescent="0.25">
      <c r="A41" s="95"/>
      <c r="B41" s="84"/>
      <c r="C41" s="86"/>
      <c r="D41" s="96"/>
      <c r="E41" s="86"/>
      <c r="G41" s="97"/>
    </row>
    <row r="42" spans="1:8" ht="17" thickBot="1" x14ac:dyDescent="0.25">
      <c r="A42" s="98"/>
      <c r="B42" s="99"/>
      <c r="C42" s="100"/>
      <c r="D42" s="101"/>
      <c r="E42" s="101"/>
      <c r="G42" s="102"/>
    </row>
    <row r="43" spans="1:8" ht="17" thickBot="1" x14ac:dyDescent="0.25">
      <c r="E43" s="86"/>
      <c r="G43" s="102"/>
    </row>
    <row r="44" spans="1:8" x14ac:dyDescent="0.2">
      <c r="G44" s="102"/>
    </row>
    <row r="46" spans="1:8" x14ac:dyDescent="0.2">
      <c r="G46" s="163" t="s">
        <v>93</v>
      </c>
      <c r="H46" s="163"/>
    </row>
    <row r="47" spans="1:8" x14ac:dyDescent="0.2">
      <c r="G47" s="97"/>
    </row>
    <row r="48" spans="1:8" x14ac:dyDescent="0.2">
      <c r="G48" s="102"/>
    </row>
    <row r="49" spans="7:7" x14ac:dyDescent="0.2">
      <c r="G49" s="102"/>
    </row>
    <row r="50" spans="7:7" x14ac:dyDescent="0.2">
      <c r="G50" s="102"/>
    </row>
    <row r="51" spans="7:7" x14ac:dyDescent="0.2">
      <c r="G51" s="102"/>
    </row>
  </sheetData>
  <mergeCells count="3">
    <mergeCell ref="C22:D22"/>
    <mergeCell ref="G40:H40"/>
    <mergeCell ref="G46:H46"/>
  </mergeCells>
  <pageMargins left="0.75" right="0.75" top="1" bottom="1" header="0.5" footer="0.5"/>
  <pageSetup paperSize="9"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340F-FDF7-6542-A5A9-8F6162C94EB3}">
  <sheetPr>
    <tabColor theme="7" tint="0.59999389629810485"/>
  </sheetPr>
  <dimension ref="A2:F11"/>
  <sheetViews>
    <sheetView tabSelected="1" zoomScale="150" zoomScaleNormal="150" zoomScalePageLayoutView="150" workbookViewId="0">
      <selection activeCell="H30" sqref="H30"/>
    </sheetView>
  </sheetViews>
  <sheetFormatPr baseColWidth="10" defaultRowHeight="16" x14ac:dyDescent="0.2"/>
  <cols>
    <col min="1" max="1" width="19.6640625" customWidth="1"/>
    <col min="2" max="2" width="16.83203125" bestFit="1" customWidth="1"/>
    <col min="3" max="3" width="17.83203125" bestFit="1" customWidth="1"/>
    <col min="4" max="4" width="34.6640625" bestFit="1" customWidth="1"/>
  </cols>
  <sheetData>
    <row r="2" spans="1:6" x14ac:dyDescent="0.2">
      <c r="A2" t="s">
        <v>164</v>
      </c>
    </row>
    <row r="3" spans="1:6" ht="17" thickBot="1" x14ac:dyDescent="0.25"/>
    <row r="4" spans="1:6" x14ac:dyDescent="0.2">
      <c r="A4" s="151" t="s">
        <v>165</v>
      </c>
      <c r="B4" s="152" t="s">
        <v>166</v>
      </c>
      <c r="C4" s="152" t="s">
        <v>167</v>
      </c>
      <c r="D4" s="153" t="s">
        <v>168</v>
      </c>
    </row>
    <row r="5" spans="1:6" x14ac:dyDescent="0.2">
      <c r="A5" s="154" t="s">
        <v>169</v>
      </c>
      <c r="B5" s="154" t="s">
        <v>170</v>
      </c>
      <c r="C5" s="155">
        <v>90000</v>
      </c>
      <c r="D5" s="155">
        <v>90000</v>
      </c>
    </row>
    <row r="6" spans="1:6" x14ac:dyDescent="0.2">
      <c r="A6" s="154" t="s">
        <v>171</v>
      </c>
      <c r="B6" s="154" t="s">
        <v>172</v>
      </c>
      <c r="C6" s="155">
        <v>450000</v>
      </c>
      <c r="D6" s="155">
        <v>600000</v>
      </c>
    </row>
    <row r="7" spans="1:6" x14ac:dyDescent="0.2">
      <c r="A7" s="154" t="s">
        <v>173</v>
      </c>
      <c r="B7" s="154" t="s">
        <v>174</v>
      </c>
      <c r="C7" s="155">
        <v>75000</v>
      </c>
      <c r="D7" s="155">
        <v>3000</v>
      </c>
    </row>
    <row r="9" spans="1:6" x14ac:dyDescent="0.2">
      <c r="A9" s="156" t="s">
        <v>175</v>
      </c>
      <c r="B9" s="156"/>
      <c r="C9" s="156"/>
      <c r="D9" s="156"/>
      <c r="E9" s="156"/>
      <c r="F9" s="156"/>
    </row>
    <row r="10" spans="1:6" x14ac:dyDescent="0.2">
      <c r="A10" s="156" t="s">
        <v>176</v>
      </c>
      <c r="B10" s="156"/>
      <c r="C10" s="156"/>
      <c r="D10" s="156"/>
      <c r="E10" s="156"/>
      <c r="F10" s="156"/>
    </row>
    <row r="11" spans="1:6" x14ac:dyDescent="0.2">
      <c r="A11" s="156"/>
      <c r="B11" s="156"/>
      <c r="C11" s="156"/>
      <c r="D11" s="156"/>
      <c r="E11" s="156"/>
      <c r="F11" s="156"/>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Final-Budgeting</vt:lpstr>
      <vt:lpstr>Final-Cash Flow Budget</vt:lpstr>
      <vt:lpstr>Second Mid-CVP</vt:lpstr>
      <vt:lpstr>Second-Sales Mix</vt:lpstr>
      <vt:lpstr>First Mid-Term</vt:lpstr>
      <vt:lpstr>First-Job Order</vt:lpstr>
      <vt:lpstr>First Mid-Term Part 2</vt:lpstr>
      <vt:lpstr>ABC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Muro</dc:creator>
  <cp:lastModifiedBy>Microsoft Account</cp:lastModifiedBy>
  <dcterms:created xsi:type="dcterms:W3CDTF">2020-12-01T09:19:51Z</dcterms:created>
  <dcterms:modified xsi:type="dcterms:W3CDTF">2025-12-15T12:49:42Z</dcterms:modified>
</cp:coreProperties>
</file>